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workbookProtection workbookPassword="C74A" lockStructure="1" lockWindows="1"/>
  <bookViews>
    <workbookView xWindow="120" yWindow="15" windowWidth="15480" windowHeight="8070" activeTab="6"/>
  </bookViews>
  <sheets>
    <sheet name="Linha 7" sheetId="9" r:id="rId1"/>
    <sheet name="Linha 10" sheetId="7" r:id="rId2"/>
    <sheet name="Linha 11" sheetId="6" r:id="rId3"/>
    <sheet name="Linha 12" sheetId="4" r:id="rId4"/>
    <sheet name="Linha 8" sheetId="3" r:id="rId5"/>
    <sheet name="Linha 9" sheetId="1" r:id="rId6"/>
    <sheet name="OESTE SUL" sheetId="10" r:id="rId7"/>
    <sheet name="Mascara" sheetId="12" state="veryHidden" r:id="rId8"/>
    <sheet name="Plan1" sheetId="11" state="veryHidden" r:id="rId9"/>
  </sheets>
  <functionGroups builtInGroupCount="17"/>
  <calcPr calcId="145621"/>
</workbook>
</file>

<file path=xl/calcChain.xml><?xml version="1.0" encoding="utf-8"?>
<calcChain xmlns="http://schemas.openxmlformats.org/spreadsheetml/2006/main">
  <c r="Q20" i="9" l="1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B19" i="9" l="1"/>
  <c r="J13" i="10" l="1"/>
  <c r="L9" i="9"/>
  <c r="M5" i="9"/>
  <c r="N6" i="10" l="1"/>
  <c r="N5" i="10"/>
  <c r="N4" i="10"/>
  <c r="N3" i="10"/>
  <c r="M6" i="10"/>
  <c r="M5" i="10"/>
  <c r="M4" i="10"/>
  <c r="M3" i="10"/>
  <c r="L6" i="10"/>
  <c r="L5" i="10"/>
  <c r="L4" i="10"/>
  <c r="L3" i="10"/>
  <c r="K6" i="10"/>
  <c r="K5" i="10"/>
  <c r="K4" i="10"/>
  <c r="K3" i="10"/>
  <c r="J6" i="10"/>
  <c r="J5" i="10"/>
  <c r="J4" i="10"/>
  <c r="J3" i="10"/>
  <c r="I6" i="10"/>
  <c r="I5" i="10"/>
  <c r="I4" i="10"/>
  <c r="I3" i="10"/>
  <c r="H6" i="10"/>
  <c r="H5" i="10"/>
  <c r="H4" i="10"/>
  <c r="H3" i="10"/>
  <c r="G5" i="10"/>
  <c r="G4" i="10"/>
  <c r="G3" i="10"/>
  <c r="F4" i="10"/>
  <c r="F3" i="10"/>
  <c r="G6" i="10"/>
  <c r="F5" i="10"/>
  <c r="E4" i="10"/>
  <c r="E3" i="10"/>
  <c r="D3" i="10"/>
  <c r="E15" i="10"/>
  <c r="E14" i="10"/>
  <c r="E13" i="10"/>
  <c r="E12" i="10"/>
  <c r="E11" i="10"/>
  <c r="E10" i="10"/>
  <c r="E9" i="10"/>
  <c r="D15" i="10"/>
  <c r="D14" i="10"/>
  <c r="D13" i="10"/>
  <c r="D12" i="10"/>
  <c r="D11" i="10"/>
  <c r="D10" i="10"/>
  <c r="D9" i="10"/>
  <c r="E8" i="10"/>
  <c r="D8" i="10"/>
  <c r="D7" i="10"/>
  <c r="C14" i="10"/>
  <c r="C13" i="10"/>
  <c r="C12" i="10"/>
  <c r="C11" i="10"/>
  <c r="C10" i="10"/>
  <c r="C9" i="10"/>
  <c r="C8" i="10"/>
  <c r="C7" i="10"/>
  <c r="C15" i="10"/>
  <c r="B15" i="10"/>
  <c r="B14" i="10"/>
  <c r="B13" i="10"/>
  <c r="B12" i="10"/>
  <c r="B11" i="10"/>
  <c r="B10" i="10"/>
  <c r="B9" i="10"/>
  <c r="B8" i="10"/>
  <c r="B7" i="10"/>
  <c r="C6" i="10"/>
  <c r="B6" i="10"/>
  <c r="B5" i="10"/>
  <c r="L15" i="10"/>
  <c r="K15" i="10"/>
  <c r="J15" i="10"/>
  <c r="I15" i="10"/>
  <c r="H15" i="10"/>
  <c r="G15" i="10"/>
  <c r="F15" i="10"/>
  <c r="A15" i="10"/>
  <c r="K14" i="10"/>
  <c r="J14" i="10"/>
  <c r="I14" i="10"/>
  <c r="H14" i="10"/>
  <c r="G14" i="10"/>
  <c r="F14" i="10"/>
  <c r="A14" i="10"/>
  <c r="N13" i="10"/>
  <c r="I13" i="10"/>
  <c r="H13" i="10"/>
  <c r="G13" i="10"/>
  <c r="F13" i="10"/>
  <c r="A13" i="10"/>
  <c r="N12" i="10"/>
  <c r="M12" i="10"/>
  <c r="I12" i="10"/>
  <c r="H12" i="10"/>
  <c r="G12" i="10"/>
  <c r="F12" i="10"/>
  <c r="A12" i="10"/>
  <c r="N11" i="10"/>
  <c r="M11" i="10"/>
  <c r="L11" i="10"/>
  <c r="H11" i="10"/>
  <c r="G11" i="10"/>
  <c r="F11" i="10"/>
  <c r="A11" i="10"/>
  <c r="N10" i="10"/>
  <c r="M10" i="10"/>
  <c r="L10" i="10"/>
  <c r="K10" i="10"/>
  <c r="G10" i="10"/>
  <c r="F10" i="10"/>
  <c r="A10" i="10"/>
  <c r="N9" i="10"/>
  <c r="M9" i="10"/>
  <c r="L9" i="10"/>
  <c r="K9" i="10"/>
  <c r="J9" i="10"/>
  <c r="F9" i="10"/>
  <c r="A9" i="10"/>
  <c r="N8" i="10"/>
  <c r="M8" i="10"/>
  <c r="L8" i="10"/>
  <c r="K8" i="10"/>
  <c r="J8" i="10"/>
  <c r="I8" i="10"/>
  <c r="A8" i="10"/>
  <c r="N7" i="10"/>
  <c r="M7" i="10"/>
  <c r="L7" i="10"/>
  <c r="K7" i="10"/>
  <c r="J7" i="10"/>
  <c r="I7" i="10"/>
  <c r="H7" i="10"/>
  <c r="A7" i="10"/>
  <c r="A3" i="10"/>
  <c r="A4" i="10"/>
  <c r="A5" i="10"/>
  <c r="A6" i="10"/>
  <c r="Q25" i="3"/>
  <c r="Q24" i="3"/>
  <c r="Q23" i="3"/>
  <c r="P25" i="3"/>
  <c r="P24" i="3"/>
  <c r="P23" i="3"/>
  <c r="O25" i="3"/>
  <c r="O24" i="3"/>
  <c r="O23" i="3"/>
  <c r="N25" i="3"/>
  <c r="N24" i="3"/>
  <c r="N23" i="3"/>
  <c r="M25" i="3"/>
  <c r="M24" i="3"/>
  <c r="M23" i="3"/>
  <c r="L25" i="3"/>
  <c r="L24" i="3"/>
  <c r="L23" i="3"/>
  <c r="K25" i="3"/>
  <c r="K24" i="3"/>
  <c r="K23" i="3"/>
  <c r="K26" i="3"/>
  <c r="J25" i="3"/>
  <c r="J24" i="3"/>
  <c r="J23" i="3"/>
  <c r="I25" i="3"/>
  <c r="I24" i="3"/>
  <c r="I23" i="3"/>
  <c r="H23" i="3"/>
  <c r="H24" i="3"/>
  <c r="H25" i="3"/>
  <c r="G23" i="3"/>
  <c r="G24" i="3"/>
  <c r="G25" i="3"/>
  <c r="F23" i="3"/>
  <c r="F24" i="3"/>
  <c r="F25" i="3"/>
  <c r="E23" i="3"/>
  <c r="E24" i="3"/>
  <c r="E25" i="3"/>
  <c r="D23" i="3"/>
  <c r="D24" i="3"/>
  <c r="D25" i="3"/>
  <c r="C24" i="3"/>
  <c r="C25" i="3"/>
  <c r="C23" i="3"/>
  <c r="B23" i="3"/>
  <c r="B24" i="3"/>
  <c r="B25" i="3"/>
  <c r="Q26" i="3" l="1"/>
  <c r="P26" i="3"/>
  <c r="O26" i="3"/>
  <c r="N26" i="3"/>
  <c r="M26" i="3"/>
  <c r="L26" i="3"/>
  <c r="J26" i="3"/>
  <c r="I26" i="3"/>
  <c r="H26" i="3"/>
  <c r="G26" i="3"/>
  <c r="F26" i="3"/>
  <c r="E26" i="3"/>
  <c r="R26" i="3"/>
  <c r="R25" i="3"/>
  <c r="R24" i="3"/>
  <c r="R23" i="3"/>
  <c r="S26" i="3"/>
  <c r="S25" i="3"/>
  <c r="S24" i="3"/>
  <c r="S23" i="3"/>
  <c r="T26" i="3"/>
  <c r="T25" i="3"/>
  <c r="T23" i="3"/>
  <c r="T24" i="3" s="1"/>
  <c r="U26" i="3"/>
  <c r="U25" i="3"/>
  <c r="U24" i="3"/>
  <c r="V26" i="3"/>
  <c r="V25" i="3"/>
  <c r="W26" i="3"/>
  <c r="D26" i="3"/>
  <c r="C26" i="3"/>
  <c r="B26" i="3"/>
  <c r="V21" i="3"/>
  <c r="W21" i="3"/>
  <c r="X21" i="3"/>
  <c r="Y21" i="3"/>
  <c r="V20" i="3"/>
  <c r="W20" i="3"/>
  <c r="X20" i="3"/>
  <c r="Y20" i="3"/>
  <c r="V19" i="3"/>
  <c r="W19" i="3"/>
  <c r="X19" i="3"/>
  <c r="Y19" i="3"/>
  <c r="V18" i="3"/>
  <c r="W18" i="3"/>
  <c r="X18" i="3"/>
  <c r="Y18" i="3"/>
  <c r="V17" i="3"/>
  <c r="W17" i="3"/>
  <c r="X17" i="3"/>
  <c r="Y17" i="3"/>
  <c r="V16" i="3"/>
  <c r="W16" i="3"/>
  <c r="X16" i="3"/>
  <c r="Y16" i="3"/>
  <c r="V15" i="3"/>
  <c r="W15" i="3"/>
  <c r="X15" i="3"/>
  <c r="Y15" i="3"/>
  <c r="V14" i="3"/>
  <c r="W14" i="3"/>
  <c r="X14" i="3"/>
  <c r="Y14" i="3"/>
  <c r="X13" i="3"/>
  <c r="W13" i="3"/>
  <c r="V13" i="3"/>
  <c r="V12" i="3"/>
  <c r="W12" i="3"/>
  <c r="X12" i="3"/>
  <c r="Y12" i="3"/>
  <c r="Y13" i="3"/>
  <c r="Y11" i="3"/>
  <c r="X11" i="3"/>
  <c r="W11" i="3"/>
  <c r="V11" i="3"/>
  <c r="Y10" i="3"/>
  <c r="X10" i="3"/>
  <c r="W10" i="3"/>
  <c r="V10" i="3"/>
  <c r="Y9" i="3"/>
  <c r="X9" i="3"/>
  <c r="W9" i="3"/>
  <c r="V9" i="3"/>
  <c r="Y8" i="3"/>
  <c r="X8" i="3"/>
  <c r="W8" i="3"/>
  <c r="V8" i="3"/>
  <c r="Y7" i="3"/>
  <c r="X7" i="3"/>
  <c r="W7" i="3"/>
  <c r="V7" i="3"/>
  <c r="Y22" i="3"/>
  <c r="X22" i="3"/>
  <c r="W22" i="3"/>
  <c r="X23" i="3"/>
  <c r="Y23" i="3"/>
  <c r="Y24" i="3"/>
  <c r="Y6" i="3"/>
  <c r="X6" i="3"/>
  <c r="W6" i="3"/>
  <c r="V6" i="3"/>
  <c r="Y5" i="3"/>
  <c r="X5" i="3"/>
  <c r="W5" i="3"/>
  <c r="V5" i="3"/>
  <c r="Y4" i="3"/>
  <c r="X4" i="3"/>
  <c r="W4" i="3"/>
  <c r="V4" i="3"/>
  <c r="Y3" i="3"/>
  <c r="X3" i="3"/>
  <c r="W3" i="3"/>
  <c r="V3" i="3"/>
  <c r="L6" i="4" l="1"/>
  <c r="L5" i="4"/>
  <c r="L4" i="4"/>
  <c r="L3" i="4"/>
  <c r="L7" i="4"/>
  <c r="L8" i="4"/>
  <c r="L9" i="4"/>
  <c r="L10" i="4"/>
  <c r="L11" i="4"/>
  <c r="J13" i="4"/>
  <c r="I13" i="4"/>
  <c r="H13" i="4"/>
  <c r="G13" i="4"/>
  <c r="F13" i="4"/>
  <c r="E13" i="4"/>
  <c r="D13" i="4"/>
  <c r="C13" i="4"/>
  <c r="B13" i="4"/>
  <c r="R16" i="6"/>
  <c r="R15" i="6"/>
  <c r="Q15" i="6"/>
  <c r="P14" i="6"/>
  <c r="Q14" i="6"/>
  <c r="R14" i="6"/>
  <c r="O13" i="6"/>
  <c r="P13" i="6"/>
  <c r="Q13" i="6"/>
  <c r="R13" i="6"/>
  <c r="N12" i="6"/>
  <c r="O12" i="6"/>
  <c r="P12" i="6"/>
  <c r="Q12" i="6"/>
  <c r="R12" i="6"/>
  <c r="M11" i="6"/>
  <c r="N11" i="6"/>
  <c r="O11" i="6"/>
  <c r="P11" i="6"/>
  <c r="Q11" i="6"/>
  <c r="R11" i="6"/>
  <c r="L10" i="6"/>
  <c r="M10" i="6"/>
  <c r="N10" i="6"/>
  <c r="O10" i="6"/>
  <c r="P10" i="6"/>
  <c r="Q10" i="6"/>
  <c r="R10" i="6"/>
  <c r="K9" i="6"/>
  <c r="L9" i="6"/>
  <c r="M9" i="6"/>
  <c r="N9" i="6"/>
  <c r="O9" i="6"/>
  <c r="P9" i="6"/>
  <c r="Q9" i="6"/>
  <c r="R9" i="6"/>
  <c r="J8" i="6"/>
  <c r="K8" i="6"/>
  <c r="L8" i="6"/>
  <c r="M8" i="6"/>
  <c r="N8" i="6"/>
  <c r="O8" i="6"/>
  <c r="P8" i="6"/>
  <c r="Q8" i="6"/>
  <c r="R8" i="6"/>
  <c r="I7" i="6"/>
  <c r="J7" i="6"/>
  <c r="K7" i="6"/>
  <c r="L7" i="6"/>
  <c r="M7" i="6"/>
  <c r="N7" i="6"/>
  <c r="O7" i="6"/>
  <c r="P7" i="6"/>
  <c r="Q7" i="6"/>
  <c r="R7" i="6"/>
  <c r="H6" i="6"/>
  <c r="I6" i="6"/>
  <c r="J6" i="6"/>
  <c r="K6" i="6"/>
  <c r="L6" i="6"/>
  <c r="M6" i="6"/>
  <c r="N6" i="6"/>
  <c r="O6" i="6"/>
  <c r="P6" i="6"/>
  <c r="Q6" i="6"/>
  <c r="R6" i="6"/>
  <c r="G5" i="6"/>
  <c r="H5" i="6"/>
  <c r="I5" i="6"/>
  <c r="J5" i="6"/>
  <c r="K5" i="6"/>
  <c r="L5" i="6"/>
  <c r="M5" i="6"/>
  <c r="N5" i="6"/>
  <c r="O5" i="6"/>
  <c r="P5" i="6"/>
  <c r="Q5" i="6"/>
  <c r="R5" i="6"/>
  <c r="F4" i="6"/>
  <c r="G4" i="6"/>
  <c r="H4" i="6"/>
  <c r="I4" i="6"/>
  <c r="J4" i="6"/>
  <c r="K4" i="6"/>
  <c r="L4" i="6"/>
  <c r="M4" i="6"/>
  <c r="N4" i="6"/>
  <c r="O4" i="6"/>
  <c r="P4" i="6"/>
  <c r="Q4" i="6"/>
  <c r="R4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R17" i="6"/>
  <c r="Q16" i="6"/>
  <c r="P15" i="6"/>
  <c r="O14" i="6"/>
  <c r="N13" i="6"/>
  <c r="M12" i="6"/>
  <c r="L11" i="6"/>
  <c r="K10" i="6"/>
  <c r="J9" i="6"/>
  <c r="I8" i="6"/>
  <c r="H7" i="6"/>
  <c r="G6" i="6"/>
  <c r="F5" i="6"/>
  <c r="E4" i="6"/>
  <c r="D3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E19" i="6"/>
  <c r="E18" i="6"/>
  <c r="E17" i="6"/>
  <c r="E16" i="6"/>
  <c r="E15" i="6"/>
  <c r="E14" i="6"/>
  <c r="E13" i="6"/>
  <c r="E12" i="6"/>
  <c r="E11" i="6"/>
  <c r="E10" i="6"/>
  <c r="E9" i="6"/>
  <c r="E8" i="6"/>
  <c r="F19" i="6"/>
  <c r="F18" i="6"/>
  <c r="F17" i="6"/>
  <c r="F16" i="6"/>
  <c r="F15" i="6"/>
  <c r="F14" i="6"/>
  <c r="F13" i="6"/>
  <c r="F12" i="6"/>
  <c r="F11" i="6"/>
  <c r="F10" i="6"/>
  <c r="F9" i="6"/>
  <c r="G19" i="6"/>
  <c r="G18" i="6"/>
  <c r="G17" i="6"/>
  <c r="G16" i="6"/>
  <c r="G15" i="6"/>
  <c r="G14" i="6"/>
  <c r="G13" i="6"/>
  <c r="G12" i="6"/>
  <c r="G11" i="6"/>
  <c r="G10" i="6"/>
  <c r="H19" i="6" l="1"/>
  <c r="H18" i="6"/>
  <c r="H17" i="6"/>
  <c r="H16" i="6"/>
  <c r="H15" i="6"/>
  <c r="H14" i="6"/>
  <c r="H13" i="6"/>
  <c r="H12" i="6"/>
  <c r="H11" i="6"/>
  <c r="I19" i="6"/>
  <c r="I18" i="6"/>
  <c r="I17" i="6"/>
  <c r="I16" i="6"/>
  <c r="I15" i="6"/>
  <c r="I14" i="6"/>
  <c r="I13" i="6"/>
  <c r="I12" i="6"/>
  <c r="J19" i="6"/>
  <c r="J18" i="6"/>
  <c r="J17" i="6"/>
  <c r="J16" i="6"/>
  <c r="J15" i="6"/>
  <c r="J14" i="6"/>
  <c r="J13" i="6"/>
  <c r="K19" i="6"/>
  <c r="K18" i="6"/>
  <c r="K17" i="6"/>
  <c r="K16" i="6"/>
  <c r="K15" i="6"/>
  <c r="K14" i="6"/>
  <c r="L19" i="6"/>
  <c r="L18" i="6"/>
  <c r="L17" i="6"/>
  <c r="L16" i="6"/>
  <c r="L15" i="6"/>
  <c r="M19" i="6"/>
  <c r="M18" i="6"/>
  <c r="M17" i="6"/>
  <c r="M16" i="6"/>
  <c r="N19" i="6"/>
  <c r="N18" i="6"/>
  <c r="N17" i="6"/>
  <c r="O19" i="6"/>
  <c r="O18" i="6"/>
  <c r="P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19" i="6"/>
  <c r="A19" i="6"/>
  <c r="A18" i="6"/>
  <c r="A17" i="6"/>
  <c r="A16" i="6"/>
  <c r="A15" i="6"/>
  <c r="P13" i="9"/>
  <c r="Q13" i="9"/>
  <c r="R13" i="9"/>
  <c r="O13" i="9"/>
  <c r="O14" i="9"/>
  <c r="P14" i="9"/>
  <c r="Q14" i="9"/>
  <c r="R14" i="9"/>
  <c r="P15" i="9"/>
  <c r="Q15" i="9"/>
  <c r="R15" i="9"/>
  <c r="Q16" i="9"/>
  <c r="R16" i="9"/>
  <c r="R17" i="9"/>
  <c r="O12" i="9"/>
  <c r="P12" i="9"/>
  <c r="Q12" i="9"/>
  <c r="R12" i="9"/>
  <c r="O11" i="9"/>
  <c r="P11" i="9"/>
  <c r="Q11" i="9"/>
  <c r="R11" i="9"/>
  <c r="O10" i="9"/>
  <c r="P10" i="9"/>
  <c r="Q10" i="9"/>
  <c r="R10" i="9"/>
  <c r="O9" i="9"/>
  <c r="P9" i="9"/>
  <c r="Q9" i="9"/>
  <c r="R9" i="9"/>
  <c r="R8" i="9"/>
  <c r="Q8" i="9"/>
  <c r="P8" i="9"/>
  <c r="O8" i="9"/>
  <c r="O7" i="9"/>
  <c r="P7" i="9"/>
  <c r="Q7" i="9"/>
  <c r="R7" i="9"/>
  <c r="O6" i="9"/>
  <c r="P6" i="9"/>
  <c r="Q6" i="9"/>
  <c r="R6" i="9"/>
  <c r="R5" i="9"/>
  <c r="Q5" i="9"/>
  <c r="P5" i="9"/>
  <c r="O5" i="9"/>
  <c r="O4" i="9"/>
  <c r="P4" i="9"/>
  <c r="Q4" i="9"/>
  <c r="R4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P3" i="9"/>
  <c r="Q3" i="9"/>
  <c r="R3" i="9"/>
  <c r="O3" i="9"/>
  <c r="N3" i="9"/>
  <c r="N4" i="9"/>
  <c r="N5" i="9"/>
  <c r="N6" i="9"/>
  <c r="N7" i="9"/>
  <c r="N8" i="9"/>
  <c r="N9" i="9"/>
  <c r="N10" i="9"/>
  <c r="N11" i="9"/>
  <c r="N12" i="9"/>
  <c r="N13" i="9"/>
  <c r="M3" i="9"/>
  <c r="M4" i="9"/>
  <c r="M6" i="9"/>
  <c r="M7" i="9"/>
  <c r="M8" i="9"/>
  <c r="M9" i="9"/>
  <c r="M10" i="9"/>
  <c r="M11" i="9"/>
  <c r="M12" i="9"/>
  <c r="L3" i="9"/>
  <c r="L4" i="9"/>
  <c r="L5" i="9"/>
  <c r="L6" i="9"/>
  <c r="L7" i="9"/>
  <c r="L8" i="9"/>
  <c r="L10" i="9"/>
  <c r="L11" i="9"/>
  <c r="K3" i="9"/>
  <c r="K4" i="9"/>
  <c r="K5" i="9"/>
  <c r="K6" i="9"/>
  <c r="K7" i="9"/>
  <c r="K8" i="9"/>
  <c r="K9" i="9"/>
  <c r="K10" i="9"/>
  <c r="J3" i="9"/>
  <c r="J4" i="9"/>
  <c r="J5" i="9"/>
  <c r="J6" i="9"/>
  <c r="J7" i="9"/>
  <c r="J8" i="9"/>
  <c r="J9" i="9"/>
  <c r="I3" i="9"/>
  <c r="I4" i="9"/>
  <c r="I5" i="9"/>
  <c r="I6" i="9"/>
  <c r="I7" i="9"/>
  <c r="I8" i="9"/>
  <c r="H3" i="9"/>
  <c r="H4" i="9"/>
  <c r="H5" i="9"/>
  <c r="H6" i="9"/>
  <c r="H7" i="9"/>
  <c r="G3" i="9"/>
  <c r="G4" i="9"/>
  <c r="G5" i="9"/>
  <c r="G6" i="9"/>
  <c r="F5" i="9"/>
  <c r="F4" i="9"/>
  <c r="F3" i="9"/>
  <c r="E4" i="9"/>
  <c r="E3" i="9"/>
  <c r="D3" i="9"/>
  <c r="J19" i="9"/>
  <c r="I19" i="9"/>
  <c r="H19" i="9"/>
  <c r="G19" i="9"/>
  <c r="F19" i="9"/>
  <c r="E19" i="9"/>
  <c r="J18" i="9"/>
  <c r="I18" i="9"/>
  <c r="G18" i="9"/>
  <c r="F18" i="9"/>
  <c r="E18" i="9"/>
  <c r="J17" i="9"/>
  <c r="I17" i="9"/>
  <c r="H17" i="9"/>
  <c r="G17" i="9"/>
  <c r="F17" i="9"/>
  <c r="E17" i="9"/>
  <c r="J16" i="9"/>
  <c r="I16" i="9"/>
  <c r="H16" i="9"/>
  <c r="G16" i="9"/>
  <c r="F16" i="9"/>
  <c r="E16" i="9"/>
  <c r="D19" i="9"/>
  <c r="D18" i="9"/>
  <c r="D17" i="9"/>
  <c r="D16" i="9"/>
  <c r="C20" i="9"/>
  <c r="C19" i="9"/>
  <c r="C18" i="9"/>
  <c r="C17" i="9"/>
  <c r="K19" i="9"/>
  <c r="K18" i="9"/>
  <c r="K17" i="9"/>
  <c r="K16" i="9"/>
  <c r="L19" i="9"/>
  <c r="L18" i="9"/>
  <c r="L17" i="9"/>
  <c r="L16" i="9"/>
  <c r="M19" i="9"/>
  <c r="M18" i="9"/>
  <c r="M17" i="9"/>
  <c r="N19" i="9"/>
  <c r="N18" i="9"/>
  <c r="O19" i="9"/>
  <c r="P19" i="9"/>
  <c r="O18" i="9"/>
  <c r="N17" i="9"/>
  <c r="H18" i="9" s="1"/>
  <c r="M16" i="9"/>
  <c r="C16" i="9"/>
  <c r="B20" i="9"/>
  <c r="B18" i="9"/>
  <c r="B17" i="9"/>
  <c r="B16" i="9"/>
  <c r="L15" i="9"/>
  <c r="B15" i="9"/>
  <c r="N17" i="1" l="1"/>
  <c r="M17" i="1"/>
  <c r="L17" i="1"/>
  <c r="K17" i="1"/>
  <c r="J17" i="1"/>
  <c r="I17" i="1"/>
  <c r="H17" i="1"/>
  <c r="G17" i="1"/>
  <c r="F17" i="1"/>
  <c r="E17" i="1"/>
  <c r="D17" i="1"/>
  <c r="C17" i="1"/>
  <c r="B17" i="1"/>
  <c r="M16" i="1"/>
  <c r="L16" i="1"/>
  <c r="K16" i="1"/>
  <c r="J16" i="1"/>
  <c r="I16" i="1"/>
  <c r="H16" i="1"/>
  <c r="G16" i="1"/>
  <c r="F16" i="1"/>
  <c r="E16" i="1"/>
  <c r="D16" i="1"/>
  <c r="C16" i="1"/>
  <c r="B16" i="1"/>
  <c r="P15" i="1"/>
  <c r="L15" i="1"/>
  <c r="K15" i="1"/>
  <c r="J15" i="1"/>
  <c r="I15" i="1"/>
  <c r="H15" i="1"/>
  <c r="G15" i="1"/>
  <c r="F15" i="1"/>
  <c r="E15" i="1"/>
  <c r="D15" i="1"/>
  <c r="C15" i="1"/>
  <c r="B15" i="1"/>
  <c r="P14" i="1"/>
  <c r="O14" i="1"/>
  <c r="K14" i="1"/>
  <c r="J14" i="1"/>
  <c r="I14" i="1"/>
  <c r="H14" i="1"/>
  <c r="G14" i="1"/>
  <c r="F14" i="1"/>
  <c r="E14" i="1"/>
  <c r="D14" i="1"/>
  <c r="C14" i="1"/>
  <c r="B14" i="1"/>
  <c r="P13" i="1"/>
  <c r="O13" i="1"/>
  <c r="N13" i="1"/>
  <c r="J13" i="1"/>
  <c r="I13" i="1"/>
  <c r="H13" i="1"/>
  <c r="G13" i="1"/>
  <c r="F13" i="1"/>
  <c r="E13" i="1"/>
  <c r="D13" i="1"/>
  <c r="C13" i="1"/>
  <c r="B13" i="1"/>
  <c r="P12" i="1"/>
  <c r="O12" i="1"/>
  <c r="N12" i="1"/>
  <c r="M12" i="1"/>
  <c r="I12" i="1"/>
  <c r="H12" i="1"/>
  <c r="G12" i="1"/>
  <c r="F12" i="1"/>
  <c r="E12" i="1"/>
  <c r="D12" i="1"/>
  <c r="C12" i="1"/>
  <c r="B12" i="1"/>
  <c r="P11" i="1"/>
  <c r="O11" i="1"/>
  <c r="N11" i="1"/>
  <c r="M11" i="1"/>
  <c r="L11" i="1"/>
  <c r="H11" i="1"/>
  <c r="G11" i="1"/>
  <c r="F11" i="1"/>
  <c r="E11" i="1"/>
  <c r="D11" i="1"/>
  <c r="C11" i="1"/>
  <c r="B11" i="1"/>
  <c r="P10" i="1"/>
  <c r="O10" i="1"/>
  <c r="N10" i="1"/>
  <c r="M10" i="1"/>
  <c r="L10" i="1"/>
  <c r="K10" i="1"/>
  <c r="G10" i="1"/>
  <c r="F10" i="1"/>
  <c r="E10" i="1"/>
  <c r="D10" i="1"/>
  <c r="C10" i="1"/>
  <c r="B10" i="1"/>
  <c r="P9" i="1"/>
  <c r="O9" i="1"/>
  <c r="N9" i="1"/>
  <c r="M9" i="1"/>
  <c r="L9" i="1"/>
  <c r="K9" i="1"/>
  <c r="J9" i="1"/>
  <c r="F9" i="1"/>
  <c r="E9" i="1"/>
  <c r="D9" i="1"/>
  <c r="C9" i="1"/>
  <c r="B9" i="1"/>
  <c r="P8" i="1"/>
  <c r="O8" i="1"/>
  <c r="N8" i="1"/>
  <c r="M8" i="1"/>
  <c r="L8" i="1"/>
  <c r="K8" i="1"/>
  <c r="J8" i="1"/>
  <c r="I8" i="1"/>
  <c r="E8" i="1"/>
  <c r="D8" i="1"/>
  <c r="C8" i="1"/>
  <c r="B8" i="1"/>
  <c r="P7" i="1"/>
  <c r="O7" i="1"/>
  <c r="N7" i="1"/>
  <c r="M7" i="1"/>
  <c r="L7" i="1"/>
  <c r="K7" i="1"/>
  <c r="J7" i="1"/>
  <c r="I7" i="1"/>
  <c r="H7" i="1"/>
  <c r="D7" i="1"/>
  <c r="C7" i="1"/>
  <c r="B7" i="1"/>
  <c r="P6" i="1"/>
  <c r="O6" i="1"/>
  <c r="N6" i="1"/>
  <c r="M6" i="1"/>
  <c r="L6" i="1"/>
  <c r="K6" i="1"/>
  <c r="J6" i="1"/>
  <c r="I6" i="1"/>
  <c r="H6" i="1"/>
  <c r="G6" i="1"/>
  <c r="C6" i="1"/>
  <c r="B6" i="1"/>
  <c r="P5" i="1"/>
  <c r="O5" i="1"/>
  <c r="N5" i="1"/>
  <c r="M5" i="1"/>
  <c r="L5" i="1"/>
  <c r="K5" i="1"/>
  <c r="J5" i="1"/>
  <c r="I5" i="1"/>
  <c r="H5" i="1"/>
  <c r="G5" i="1"/>
  <c r="F5" i="1"/>
  <c r="B5" i="1"/>
  <c r="P4" i="1"/>
  <c r="O4" i="1"/>
  <c r="N4" i="1"/>
  <c r="M4" i="1"/>
  <c r="L4" i="1"/>
  <c r="K4" i="1"/>
  <c r="J4" i="1"/>
  <c r="I4" i="1"/>
  <c r="H4" i="1"/>
  <c r="G4" i="1"/>
  <c r="F4" i="1"/>
  <c r="E4" i="1"/>
  <c r="P3" i="1"/>
  <c r="O3" i="1"/>
  <c r="N3" i="1"/>
  <c r="M3" i="1"/>
  <c r="L3" i="1"/>
  <c r="K3" i="1"/>
  <c r="J3" i="1"/>
  <c r="I3" i="1"/>
  <c r="H3" i="1"/>
  <c r="G3" i="1"/>
  <c r="F3" i="1"/>
  <c r="E3" i="1"/>
  <c r="D3" i="1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U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U19" i="3"/>
  <c r="T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U18" i="3"/>
  <c r="T18" i="3"/>
  <c r="S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U17" i="3"/>
  <c r="T17" i="3"/>
  <c r="S17" i="3"/>
  <c r="R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U16" i="3"/>
  <c r="T16" i="3"/>
  <c r="S16" i="3"/>
  <c r="R16" i="3"/>
  <c r="Q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U15" i="3"/>
  <c r="T15" i="3"/>
  <c r="S15" i="3"/>
  <c r="R15" i="3"/>
  <c r="Q15" i="3"/>
  <c r="P15" i="3"/>
  <c r="L15" i="3"/>
  <c r="K15" i="3"/>
  <c r="J15" i="3"/>
  <c r="I15" i="3"/>
  <c r="H15" i="3"/>
  <c r="G15" i="3"/>
  <c r="F15" i="3"/>
  <c r="E15" i="3"/>
  <c r="D15" i="3"/>
  <c r="C15" i="3"/>
  <c r="B15" i="3"/>
  <c r="A15" i="3"/>
  <c r="U14" i="3"/>
  <c r="T14" i="3"/>
  <c r="S14" i="3"/>
  <c r="R14" i="3"/>
  <c r="Q14" i="3"/>
  <c r="P14" i="3"/>
  <c r="O14" i="3"/>
  <c r="K14" i="3"/>
  <c r="J14" i="3"/>
  <c r="I14" i="3"/>
  <c r="H14" i="3"/>
  <c r="G14" i="3"/>
  <c r="F14" i="3"/>
  <c r="E14" i="3"/>
  <c r="D14" i="3"/>
  <c r="C14" i="3"/>
  <c r="B14" i="3"/>
  <c r="A14" i="3"/>
  <c r="U13" i="3"/>
  <c r="T13" i="3"/>
  <c r="S13" i="3"/>
  <c r="R13" i="3"/>
  <c r="Q13" i="3"/>
  <c r="P13" i="3"/>
  <c r="O13" i="3"/>
  <c r="N13" i="3"/>
  <c r="J13" i="3"/>
  <c r="I13" i="3"/>
  <c r="H13" i="3"/>
  <c r="G13" i="3"/>
  <c r="F13" i="3"/>
  <c r="E13" i="3"/>
  <c r="D13" i="3"/>
  <c r="C13" i="3"/>
  <c r="B13" i="3"/>
  <c r="A13" i="3"/>
  <c r="U12" i="3"/>
  <c r="T12" i="3"/>
  <c r="S12" i="3"/>
  <c r="R12" i="3"/>
  <c r="Q12" i="3"/>
  <c r="P12" i="3"/>
  <c r="O12" i="3"/>
  <c r="N12" i="3"/>
  <c r="M12" i="3"/>
  <c r="I12" i="3"/>
  <c r="H12" i="3"/>
  <c r="G12" i="3"/>
  <c r="F12" i="3"/>
  <c r="E12" i="3"/>
  <c r="D12" i="3"/>
  <c r="C12" i="3"/>
  <c r="B12" i="3"/>
  <c r="A12" i="3"/>
  <c r="U11" i="3"/>
  <c r="T11" i="3"/>
  <c r="S11" i="3"/>
  <c r="R11" i="3"/>
  <c r="Q11" i="3"/>
  <c r="P11" i="3"/>
  <c r="O11" i="3"/>
  <c r="N11" i="3"/>
  <c r="M11" i="3"/>
  <c r="L11" i="3"/>
  <c r="H11" i="3"/>
  <c r="G11" i="3"/>
  <c r="F11" i="3"/>
  <c r="E11" i="3"/>
  <c r="D11" i="3"/>
  <c r="C11" i="3"/>
  <c r="B11" i="3"/>
  <c r="A11" i="3"/>
  <c r="U10" i="3"/>
  <c r="T10" i="3"/>
  <c r="S10" i="3"/>
  <c r="R10" i="3"/>
  <c r="Q10" i="3"/>
  <c r="P10" i="3"/>
  <c r="O10" i="3"/>
  <c r="N10" i="3"/>
  <c r="M10" i="3"/>
  <c r="L10" i="3"/>
  <c r="K10" i="3"/>
  <c r="G10" i="3"/>
  <c r="F10" i="3"/>
  <c r="E10" i="3"/>
  <c r="D10" i="3"/>
  <c r="C10" i="3"/>
  <c r="B10" i="3"/>
  <c r="A10" i="3"/>
  <c r="U9" i="3"/>
  <c r="T9" i="3"/>
  <c r="S9" i="3"/>
  <c r="R9" i="3"/>
  <c r="Q9" i="3"/>
  <c r="P9" i="3"/>
  <c r="O9" i="3"/>
  <c r="N9" i="3"/>
  <c r="M9" i="3"/>
  <c r="L9" i="3"/>
  <c r="K9" i="3"/>
  <c r="J9" i="3"/>
  <c r="F9" i="3"/>
  <c r="E9" i="3"/>
  <c r="D9" i="3"/>
  <c r="C9" i="3"/>
  <c r="B9" i="3"/>
  <c r="A9" i="3"/>
  <c r="U8" i="3"/>
  <c r="T8" i="3"/>
  <c r="S8" i="3"/>
  <c r="R8" i="3"/>
  <c r="Q8" i="3"/>
  <c r="P8" i="3"/>
  <c r="O8" i="3"/>
  <c r="N8" i="3"/>
  <c r="M8" i="3"/>
  <c r="L8" i="3"/>
  <c r="K8" i="3"/>
  <c r="J8" i="3"/>
  <c r="I8" i="3"/>
  <c r="E8" i="3"/>
  <c r="D8" i="3"/>
  <c r="C8" i="3"/>
  <c r="B8" i="3"/>
  <c r="A8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D7" i="3"/>
  <c r="C7" i="3"/>
  <c r="B7" i="3"/>
  <c r="A7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C6" i="3"/>
  <c r="B6" i="3"/>
  <c r="A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B5" i="3"/>
  <c r="A5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A4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A3" i="3"/>
  <c r="A14" i="6" l="1"/>
  <c r="A13" i="6"/>
  <c r="A12" i="6"/>
  <c r="A11" i="6"/>
  <c r="A10" i="6"/>
  <c r="A9" i="6"/>
  <c r="A8" i="6"/>
  <c r="A7" i="6"/>
  <c r="A6" i="6"/>
  <c r="A5" i="6"/>
  <c r="A4" i="6"/>
  <c r="K15" i="9"/>
  <c r="J15" i="9"/>
  <c r="I15" i="9"/>
  <c r="H15" i="9"/>
  <c r="G15" i="9"/>
  <c r="F15" i="9"/>
  <c r="E15" i="9"/>
  <c r="D15" i="9"/>
  <c r="C15" i="9"/>
  <c r="A16" i="9"/>
  <c r="K14" i="9"/>
  <c r="J14" i="9"/>
  <c r="I14" i="9"/>
  <c r="H14" i="9"/>
  <c r="G14" i="9"/>
  <c r="F14" i="9"/>
  <c r="E14" i="9"/>
  <c r="D14" i="9"/>
  <c r="C14" i="9"/>
  <c r="B14" i="9"/>
  <c r="A15" i="9"/>
  <c r="J13" i="9"/>
  <c r="I13" i="9"/>
  <c r="H13" i="9"/>
  <c r="G13" i="9"/>
  <c r="F13" i="9"/>
  <c r="E13" i="9"/>
  <c r="D13" i="9"/>
  <c r="C13" i="9"/>
  <c r="B13" i="9"/>
  <c r="A14" i="9"/>
  <c r="I12" i="9"/>
  <c r="H12" i="9"/>
  <c r="G12" i="9"/>
  <c r="F12" i="9"/>
  <c r="E12" i="9"/>
  <c r="D12" i="9"/>
  <c r="C12" i="9"/>
  <c r="B12" i="9"/>
  <c r="A13" i="9"/>
  <c r="H11" i="9"/>
  <c r="G11" i="9"/>
  <c r="F11" i="9"/>
  <c r="E11" i="9"/>
  <c r="D11" i="9"/>
  <c r="C11" i="9"/>
  <c r="B11" i="9"/>
  <c r="A12" i="9"/>
  <c r="G10" i="9"/>
  <c r="F10" i="9"/>
  <c r="E10" i="9"/>
  <c r="D10" i="9"/>
  <c r="C10" i="9"/>
  <c r="B10" i="9"/>
  <c r="A11" i="9"/>
  <c r="F9" i="9"/>
  <c r="E9" i="9"/>
  <c r="D9" i="9"/>
  <c r="C9" i="9"/>
  <c r="B9" i="9"/>
  <c r="A10" i="9"/>
  <c r="E8" i="9"/>
  <c r="D8" i="9"/>
  <c r="C8" i="9"/>
  <c r="B8" i="9"/>
  <c r="A9" i="9"/>
  <c r="D7" i="9"/>
  <c r="C7" i="9"/>
  <c r="B7" i="9"/>
  <c r="A8" i="9"/>
  <c r="C6" i="9"/>
  <c r="B6" i="9"/>
  <c r="A7" i="9"/>
  <c r="B5" i="9"/>
  <c r="A6" i="9"/>
  <c r="A5" i="9"/>
  <c r="A4" i="9"/>
  <c r="L15" i="7"/>
  <c r="K15" i="7"/>
  <c r="J15" i="7"/>
  <c r="I15" i="7"/>
  <c r="H15" i="7"/>
  <c r="G15" i="7"/>
  <c r="F15" i="7"/>
  <c r="E15" i="7"/>
  <c r="D15" i="7"/>
  <c r="C15" i="7"/>
  <c r="B15" i="7"/>
  <c r="A15" i="7"/>
  <c r="K14" i="7"/>
  <c r="J14" i="7"/>
  <c r="I14" i="7"/>
  <c r="H14" i="7"/>
  <c r="G14" i="7"/>
  <c r="F14" i="7"/>
  <c r="E14" i="7"/>
  <c r="D14" i="7"/>
  <c r="C14" i="7"/>
  <c r="B14" i="7"/>
  <c r="A14" i="7"/>
  <c r="N13" i="7"/>
  <c r="J13" i="7"/>
  <c r="I13" i="7"/>
  <c r="H13" i="7"/>
  <c r="G13" i="7"/>
  <c r="F13" i="7"/>
  <c r="E13" i="7"/>
  <c r="D13" i="7"/>
  <c r="C13" i="7"/>
  <c r="B13" i="7"/>
  <c r="A13" i="7"/>
  <c r="N12" i="7"/>
  <c r="M12" i="7"/>
  <c r="I12" i="7"/>
  <c r="H12" i="7"/>
  <c r="G12" i="7"/>
  <c r="F12" i="7"/>
  <c r="E12" i="7"/>
  <c r="D12" i="7"/>
  <c r="C12" i="7"/>
  <c r="B12" i="7"/>
  <c r="A12" i="7"/>
  <c r="N11" i="7"/>
  <c r="M11" i="7"/>
  <c r="L11" i="7"/>
  <c r="H11" i="7"/>
  <c r="G11" i="7"/>
  <c r="F11" i="7"/>
  <c r="E11" i="7"/>
  <c r="D11" i="7"/>
  <c r="C11" i="7"/>
  <c r="B11" i="7"/>
  <c r="A11" i="7"/>
  <c r="N10" i="7"/>
  <c r="M10" i="7"/>
  <c r="L10" i="7"/>
  <c r="K10" i="7"/>
  <c r="G10" i="7"/>
  <c r="F10" i="7"/>
  <c r="E10" i="7"/>
  <c r="D10" i="7"/>
  <c r="C10" i="7"/>
  <c r="B10" i="7"/>
  <c r="A10" i="7"/>
  <c r="N9" i="7"/>
  <c r="M9" i="7"/>
  <c r="L9" i="7"/>
  <c r="K9" i="7"/>
  <c r="J9" i="7"/>
  <c r="F9" i="7"/>
  <c r="E9" i="7"/>
  <c r="D9" i="7"/>
  <c r="C9" i="7"/>
  <c r="B9" i="7"/>
  <c r="A9" i="7"/>
  <c r="N8" i="7"/>
  <c r="M8" i="7"/>
  <c r="L8" i="7"/>
  <c r="K8" i="7"/>
  <c r="J8" i="7"/>
  <c r="I8" i="7"/>
  <c r="E8" i="7"/>
  <c r="D8" i="7"/>
  <c r="C8" i="7"/>
  <c r="B8" i="7"/>
  <c r="A8" i="7"/>
  <c r="N7" i="7"/>
  <c r="M7" i="7"/>
  <c r="L7" i="7"/>
  <c r="K7" i="7"/>
  <c r="J7" i="7"/>
  <c r="I7" i="7"/>
  <c r="H7" i="7"/>
  <c r="D7" i="7"/>
  <c r="C7" i="7"/>
  <c r="B7" i="7"/>
  <c r="A7" i="7"/>
  <c r="N6" i="7"/>
  <c r="M6" i="7"/>
  <c r="L6" i="7"/>
  <c r="K6" i="7"/>
  <c r="J6" i="7"/>
  <c r="I6" i="7"/>
  <c r="H6" i="7"/>
  <c r="G6" i="7"/>
  <c r="C6" i="7"/>
  <c r="B6" i="7"/>
  <c r="A6" i="7"/>
  <c r="N5" i="7"/>
  <c r="M5" i="7"/>
  <c r="L5" i="7"/>
  <c r="K5" i="7"/>
  <c r="J5" i="7"/>
  <c r="I5" i="7"/>
  <c r="H5" i="7"/>
  <c r="G5" i="7"/>
  <c r="F5" i="7"/>
  <c r="B5" i="7"/>
  <c r="A5" i="7"/>
  <c r="N4" i="7"/>
  <c r="M4" i="7"/>
  <c r="L4" i="7"/>
  <c r="K4" i="7"/>
  <c r="J4" i="7"/>
  <c r="I4" i="7"/>
  <c r="H4" i="7"/>
  <c r="G4" i="7"/>
  <c r="F4" i="7"/>
  <c r="E4" i="7"/>
  <c r="A4" i="7"/>
  <c r="N3" i="7"/>
  <c r="M3" i="7"/>
  <c r="L3" i="7"/>
  <c r="K3" i="7"/>
  <c r="J3" i="7"/>
  <c r="I3" i="7"/>
  <c r="H3" i="7"/>
  <c r="G3" i="7"/>
  <c r="F3" i="7"/>
  <c r="E3" i="7"/>
  <c r="D3" i="7"/>
  <c r="A3" i="7"/>
  <c r="I12" i="4"/>
  <c r="H12" i="4"/>
  <c r="G12" i="4"/>
  <c r="F12" i="4"/>
  <c r="E12" i="4"/>
  <c r="D12" i="4"/>
  <c r="C12" i="4"/>
  <c r="B12" i="4"/>
  <c r="A12" i="4"/>
  <c r="H11" i="4"/>
  <c r="G11" i="4"/>
  <c r="F11" i="4"/>
  <c r="E11" i="4"/>
  <c r="D11" i="4"/>
  <c r="C11" i="4"/>
  <c r="B11" i="4"/>
  <c r="A11" i="4"/>
  <c r="K10" i="4"/>
  <c r="G10" i="4"/>
  <c r="F10" i="4"/>
  <c r="E10" i="4"/>
  <c r="D10" i="4"/>
  <c r="C10" i="4"/>
  <c r="B10" i="4"/>
  <c r="A10" i="4"/>
  <c r="K9" i="4"/>
  <c r="J9" i="4"/>
  <c r="F9" i="4"/>
  <c r="E9" i="4"/>
  <c r="D9" i="4"/>
  <c r="C9" i="4"/>
  <c r="B9" i="4"/>
  <c r="A9" i="4"/>
  <c r="K8" i="4"/>
  <c r="J8" i="4"/>
  <c r="I8" i="4"/>
  <c r="E8" i="4"/>
  <c r="D8" i="4"/>
  <c r="C8" i="4"/>
  <c r="B8" i="4"/>
  <c r="A8" i="4"/>
  <c r="K7" i="4"/>
  <c r="J7" i="4"/>
  <c r="I7" i="4"/>
  <c r="H7" i="4"/>
  <c r="D7" i="4"/>
  <c r="C7" i="4"/>
  <c r="B7" i="4"/>
  <c r="A7" i="4"/>
  <c r="K6" i="4"/>
  <c r="J6" i="4"/>
  <c r="I6" i="4"/>
  <c r="H6" i="4"/>
  <c r="G6" i="4"/>
  <c r="C6" i="4"/>
  <c r="B6" i="4"/>
  <c r="A6" i="4"/>
  <c r="K5" i="4"/>
  <c r="J5" i="4"/>
  <c r="I5" i="4"/>
  <c r="H5" i="4"/>
  <c r="G5" i="4"/>
  <c r="F5" i="4"/>
  <c r="B5" i="4"/>
  <c r="A5" i="4"/>
  <c r="K4" i="4"/>
  <c r="J4" i="4"/>
  <c r="I4" i="4"/>
  <c r="H4" i="4"/>
  <c r="G4" i="4"/>
  <c r="F4" i="4"/>
  <c r="E4" i="4"/>
  <c r="A4" i="4"/>
  <c r="K3" i="4"/>
  <c r="J3" i="4"/>
  <c r="I3" i="4"/>
  <c r="H3" i="4"/>
  <c r="G3" i="4"/>
  <c r="F3" i="4"/>
  <c r="E3" i="4"/>
  <c r="D3" i="4"/>
  <c r="A3" i="4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S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S17" i="1"/>
  <c r="R17" i="1"/>
  <c r="A17" i="1"/>
  <c r="S16" i="1"/>
  <c r="R16" i="1"/>
  <c r="Q16" i="1"/>
  <c r="A16" i="1"/>
  <c r="S15" i="1"/>
  <c r="R15" i="1"/>
  <c r="Q15" i="1"/>
  <c r="A15" i="1"/>
  <c r="S14" i="1"/>
  <c r="R14" i="1"/>
  <c r="Q14" i="1"/>
  <c r="A14" i="1"/>
  <c r="S13" i="1"/>
  <c r="R13" i="1"/>
  <c r="Q13" i="1"/>
  <c r="A13" i="1"/>
  <c r="S12" i="1"/>
  <c r="R12" i="1"/>
  <c r="Q12" i="1"/>
  <c r="A12" i="1"/>
  <c r="S11" i="1"/>
  <c r="R11" i="1"/>
  <c r="Q11" i="1"/>
  <c r="A11" i="1"/>
  <c r="S10" i="1"/>
  <c r="R10" i="1"/>
  <c r="Q10" i="1"/>
  <c r="A10" i="1"/>
  <c r="S9" i="1"/>
  <c r="R9" i="1"/>
  <c r="Q9" i="1"/>
  <c r="A9" i="1"/>
  <c r="S8" i="1"/>
  <c r="R8" i="1"/>
  <c r="Q8" i="1"/>
  <c r="A8" i="1"/>
  <c r="S7" i="1"/>
  <c r="R7" i="1"/>
  <c r="Q7" i="1"/>
  <c r="A7" i="1"/>
  <c r="S6" i="1"/>
  <c r="R6" i="1"/>
  <c r="Q6" i="1"/>
  <c r="A6" i="1"/>
  <c r="S5" i="1"/>
  <c r="R5" i="1"/>
  <c r="Q5" i="1"/>
  <c r="A5" i="1"/>
  <c r="S4" i="1"/>
  <c r="R4" i="1"/>
  <c r="Q4" i="1"/>
  <c r="A4" i="1"/>
  <c r="S3" i="1"/>
  <c r="R3" i="1"/>
  <c r="Q3" i="1"/>
  <c r="A3" i="1"/>
  <c r="S3" i="9"/>
</calcChain>
</file>

<file path=xl/sharedStrings.xml><?xml version="1.0" encoding="utf-8"?>
<sst xmlns="http://schemas.openxmlformats.org/spreadsheetml/2006/main" count="173" uniqueCount="118">
  <si>
    <t>O  D</t>
  </si>
  <si>
    <t>JPR</t>
  </si>
  <si>
    <t>BFU</t>
  </si>
  <si>
    <t>LAB</t>
  </si>
  <si>
    <t>DMO</t>
  </si>
  <si>
    <t>ILE</t>
  </si>
  <si>
    <t>PAL</t>
  </si>
  <si>
    <t>OSA</t>
  </si>
  <si>
    <t>CSA</t>
  </si>
  <si>
    <t>QTU</t>
  </si>
  <si>
    <t>GMC</t>
  </si>
  <si>
    <t>CPB</t>
  </si>
  <si>
    <t>STE</t>
  </si>
  <si>
    <t>AJO</t>
  </si>
  <si>
    <t>BRU</t>
  </si>
  <si>
    <t>JBE</t>
  </si>
  <si>
    <t>JSI</t>
  </si>
  <si>
    <t>JDI</t>
  </si>
  <si>
    <t>SCO</t>
  </si>
  <si>
    <t>ECD</t>
  </si>
  <si>
    <t>IPV</t>
  </si>
  <si>
    <t>SRT</t>
  </si>
  <si>
    <t>CMR</t>
  </si>
  <si>
    <t>AMB</t>
  </si>
  <si>
    <t>ABU</t>
  </si>
  <si>
    <t>TABELA ORIGEM / DESTINO LINHA 9 (em minutos)</t>
  </si>
  <si>
    <t>TABELA ORIGEM / DESTINO LINHA 12 (em minutos)</t>
  </si>
  <si>
    <t>TABELA ORIGEM / DESTINO LINHA 8 (em minutos)</t>
  </si>
  <si>
    <t>TABELA ORIGEM / DESTINO LINHA 10 (em minutos)</t>
  </si>
  <si>
    <t>TABELA ORIGEM / DESTINO LINHA 7 (em minutos)</t>
  </si>
  <si>
    <t>LUZ</t>
  </si>
  <si>
    <t>ABR</t>
  </si>
  <si>
    <t>LPA</t>
  </si>
  <si>
    <t>PQR</t>
  </si>
  <si>
    <t>PRT</t>
  </si>
  <si>
    <t>VCL</t>
  </si>
  <si>
    <t>JRG</t>
  </si>
  <si>
    <t>PRU</t>
  </si>
  <si>
    <t>CAI</t>
  </si>
  <si>
    <t>FDR</t>
  </si>
  <si>
    <t>BFI</t>
  </si>
  <si>
    <t>FMO</t>
  </si>
  <si>
    <t>BTJ</t>
  </si>
  <si>
    <t>CLP</t>
  </si>
  <si>
    <t>VPL</t>
  </si>
  <si>
    <t>JUN</t>
  </si>
  <si>
    <t>BAS</t>
  </si>
  <si>
    <t>MOC</t>
  </si>
  <si>
    <t>IPG</t>
  </si>
  <si>
    <t>TMD</t>
  </si>
  <si>
    <t>SCT</t>
  </si>
  <si>
    <t>UTG</t>
  </si>
  <si>
    <t>PSA</t>
  </si>
  <si>
    <t>SAN</t>
  </si>
  <si>
    <t>CPV</t>
  </si>
  <si>
    <t>MAU</t>
  </si>
  <si>
    <t>GPT</t>
  </si>
  <si>
    <t>RPI</t>
  </si>
  <si>
    <t>RGS</t>
  </si>
  <si>
    <t>TAT</t>
  </si>
  <si>
    <t>ITQ</t>
  </si>
  <si>
    <t>DOB</t>
  </si>
  <si>
    <t>JBO</t>
  </si>
  <si>
    <t>GUA</t>
  </si>
  <si>
    <t>AGN</t>
  </si>
  <si>
    <t>FVC</t>
  </si>
  <si>
    <t>POA</t>
  </si>
  <si>
    <t>CVN</t>
  </si>
  <si>
    <t>SUZ</t>
  </si>
  <si>
    <t>TABELA ORIGEM / DESTINO LINHA 11 Expresso Leste até SUZ (em minutos)</t>
  </si>
  <si>
    <t>JPB</t>
  </si>
  <si>
    <t>BCB</t>
  </si>
  <si>
    <t>MDC</t>
  </si>
  <si>
    <t>EST</t>
  </si>
  <si>
    <t>ERM</t>
  </si>
  <si>
    <t>EGO</t>
  </si>
  <si>
    <t>SMP</t>
  </si>
  <si>
    <t>ITI</t>
  </si>
  <si>
    <t>EMF</t>
  </si>
  <si>
    <t>IQC</t>
  </si>
  <si>
    <t>ARC</t>
  </si>
  <si>
    <t>CEA</t>
  </si>
  <si>
    <t>PIN</t>
  </si>
  <si>
    <t>CJD</t>
  </si>
  <si>
    <t>JAG</t>
  </si>
  <si>
    <t>USP</t>
  </si>
  <si>
    <t>EMT</t>
  </si>
  <si>
    <t>VOL</t>
  </si>
  <si>
    <t>BRR</t>
  </si>
  <si>
    <t>MRB</t>
  </si>
  <si>
    <t>GJT</t>
  </si>
  <si>
    <t>SAM</t>
  </si>
  <si>
    <t>SOC</t>
  </si>
  <si>
    <t>JUR</t>
  </si>
  <si>
    <t>INT</t>
  </si>
  <si>
    <t>GRA</t>
  </si>
  <si>
    <t>VAG</t>
  </si>
  <si>
    <t>TABELA ORIGEM / DESTINO OESTE SUL (em minutos)</t>
  </si>
  <si>
    <t>SENTIDO OSA / VAG</t>
  </si>
  <si>
    <t>SENTIDO VAG / OSA</t>
  </si>
  <si>
    <t>SENTIDO ABU / JPR</t>
  </si>
  <si>
    <t>SENTIDO JPR / ABU</t>
  </si>
  <si>
    <t>SENTIDO PIN / BRU</t>
  </si>
  <si>
    <t>SENTIDO BRU / PIN</t>
  </si>
  <si>
    <t>SENTIDO BFU / EST</t>
  </si>
  <si>
    <t>SENTIDO EST / BFU</t>
  </si>
  <si>
    <t>SENTIDO BAS / CVN</t>
  </si>
  <si>
    <t>SENTIDO CVN / BAS</t>
  </si>
  <si>
    <t>SENTIDO LUZ / RGS</t>
  </si>
  <si>
    <t>SENTIDO RGS / LUZ</t>
  </si>
  <si>
    <t>SENTIDO FMO / BAS</t>
  </si>
  <si>
    <t>SENTIDO BAS / FMO</t>
  </si>
  <si>
    <t>Cauculo do Headway_2.xlsm</t>
  </si>
  <si>
    <t>teste</t>
  </si>
  <si>
    <t>TABELA ORIGEM / DESTINO "Insira o nome da linha"</t>
  </si>
  <si>
    <t>SENTIDO "Sentido ida"</t>
  </si>
  <si>
    <t>SENTIDO "Sentido volta"</t>
  </si>
  <si>
    <t>Plataforma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</si>
</sst>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:ss;@"/>
    <numFmt numFmtId="165" formatCode="h:mm:ss"/>
    <numFmt numFmtId="166" formatCode="[$-F400]h:mm:ss\ AM/PM"/>
  </numFmts>
  <fonts count="1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333CC"/>
      <name val="Calibri"/>
      <family val="2"/>
      <scheme val="minor"/>
    </font>
    <font>
      <b/>
      <sz val="10"/>
      <color rgb="FF3333CC"/>
      <name val="Arial"/>
      <family val="2"/>
    </font>
    <font>
      <b/>
      <sz val="11"/>
      <color rgb="FF3333CC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164" fontId="4" fillId="2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5" fontId="6" fillId="0" borderId="1" xfId="0" applyNumberFormat="1" applyFont="1" applyFill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  <xf numFmtId="164" fontId="7" fillId="0" borderId="1" xfId="0" applyNumberFormat="1" applyFont="1" applyBorder="1" applyAlignment="1" applyProtection="1">
      <alignment horizontal="center" vertical="center"/>
    </xf>
    <xf numFmtId="165" fontId="7" fillId="0" borderId="1" xfId="0" applyNumberFormat="1" applyFont="1" applyFill="1" applyBorder="1" applyAlignment="1" applyProtection="1">
      <alignment horizontal="center" vertical="center"/>
    </xf>
    <xf numFmtId="165" fontId="3" fillId="0" borderId="1" xfId="0" applyNumberFormat="1" applyFont="1" applyBorder="1" applyAlignment="1" applyProtection="1">
      <alignment horizontal="center" vertical="center"/>
    </xf>
    <xf numFmtId="165" fontId="4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165" fontId="8" fillId="3" borderId="1" xfId="0" applyNumberFormat="1" applyFont="1" applyFill="1" applyBorder="1" applyAlignment="1" applyProtection="1">
      <alignment horizontal="center" vertical="center"/>
    </xf>
    <xf numFmtId="165" fontId="9" fillId="3" borderId="1" xfId="0" applyNumberFormat="1" applyFont="1" applyFill="1" applyBorder="1" applyAlignment="1" applyProtection="1">
      <alignment horizontal="center" vertical="center"/>
    </xf>
    <xf numFmtId="165" fontId="4" fillId="4" borderId="1" xfId="0" applyNumberFormat="1" applyFont="1" applyFill="1" applyBorder="1" applyAlignment="1" applyProtection="1">
      <alignment horizontal="center" vertical="center"/>
    </xf>
    <xf numFmtId="165" fontId="4" fillId="2" borderId="1" xfId="0" applyNumberFormat="1" applyFont="1" applyFill="1" applyBorder="1" applyAlignment="1" applyProtection="1">
      <alignment horizontal="center" vertical="center"/>
    </xf>
    <xf numFmtId="165" fontId="8" fillId="0" borderId="1" xfId="0" applyNumberFormat="1" applyFont="1" applyBorder="1" applyAlignment="1" applyProtection="1">
      <alignment horizontal="center" vertical="center"/>
    </xf>
    <xf numFmtId="165" fontId="9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7" fillId="3" borderId="1" xfId="0" applyNumberFormat="1" applyFont="1" applyFill="1" applyBorder="1" applyAlignment="1" applyProtection="1">
      <alignment horizontal="center" vertical="center"/>
    </xf>
    <xf numFmtId="165" fontId="7" fillId="4" borderId="1" xfId="0" applyNumberFormat="1" applyFont="1" applyFill="1" applyBorder="1" applyAlignment="1" applyProtection="1">
      <alignment horizontal="center" vertical="center"/>
    </xf>
    <xf numFmtId="165" fontId="4" fillId="0" borderId="1" xfId="0" applyNumberFormat="1" applyFont="1" applyBorder="1" applyAlignment="1" applyProtection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 vertical="center"/>
    </xf>
    <xf numFmtId="164" fontId="3" fillId="4" borderId="1" xfId="0" applyNumberFormat="1" applyFont="1" applyFill="1" applyBorder="1" applyAlignment="1" applyProtection="1">
      <alignment horizontal="center" vertical="center"/>
    </xf>
    <xf numFmtId="164" fontId="11" fillId="0" borderId="1" xfId="0" applyNumberFormat="1" applyFont="1" applyBorder="1" applyAlignment="1" applyProtection="1">
      <alignment horizontal="center" vertical="center"/>
    </xf>
    <xf numFmtId="164" fontId="7" fillId="0" borderId="0" xfId="0" applyNumberFormat="1" applyFont="1" applyAlignment="1" applyProtection="1">
      <alignment horizontal="center" vertical="center"/>
    </xf>
    <xf numFmtId="166" fontId="1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  <protection locked="0"/>
    </xf>
    <xf numFmtId="164" fontId="3" fillId="0" borderId="0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21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21" fontId="4" fillId="0" borderId="1" xfId="0" applyNumberFormat="1" applyFont="1" applyBorder="1" applyAlignment="1" applyProtection="1">
      <alignment horizontal="center" vertical="center"/>
    </xf>
    <xf numFmtId="21" fontId="3" fillId="0" borderId="1" xfId="0" applyNumberFormat="1" applyFont="1" applyBorder="1" applyAlignment="1" applyProtection="1">
      <alignment horizontal="center" vertical="center"/>
    </xf>
    <xf numFmtId="46" fontId="3" fillId="0" borderId="1" xfId="0" applyNumberFormat="1" applyFont="1" applyBorder="1" applyAlignment="1" applyProtection="1">
      <alignment horizontal="center" vertical="center"/>
    </xf>
    <xf numFmtId="21" fontId="7" fillId="0" borderId="1" xfId="0" applyNumberFormat="1" applyFont="1" applyBorder="1" applyAlignment="1" applyProtection="1">
      <alignment horizontal="center" vertical="center"/>
    </xf>
    <xf numFmtId="165" fontId="2" fillId="0" borderId="1" xfId="0" applyNumberFormat="1" applyFont="1" applyBorder="1" applyAlignment="1" applyProtection="1">
      <alignment horizontal="center" vertical="center"/>
    </xf>
    <xf numFmtId="21" fontId="5" fillId="0" borderId="1" xfId="0" applyNumberFormat="1" applyFont="1" applyBorder="1" applyAlignment="1" applyProtection="1">
      <alignment horizontal="center" vertical="center"/>
    </xf>
    <xf numFmtId="165" fontId="5" fillId="0" borderId="1" xfId="0" applyNumberFormat="1" applyFont="1" applyBorder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center" vertical="center"/>
    </xf>
    <xf numFmtId="165" fontId="5" fillId="0" borderId="0" xfId="0" applyNumberFormat="1" applyFont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165" fontId="4" fillId="0" borderId="1" xfId="0" applyNumberFormat="1" applyFont="1" applyFill="1" applyBorder="1" applyAlignment="1" applyProtection="1">
      <alignment horizontal="center" vertical="center"/>
    </xf>
    <xf numFmtId="165" fontId="7" fillId="0" borderId="1" xfId="0" applyNumberFormat="1" applyFont="1" applyBorder="1" applyAlignment="1" applyProtection="1">
      <alignment horizontal="center" vertical="center"/>
    </xf>
    <xf numFmtId="0" fontId="3" fillId="0" borderId="0" xfId="0" applyFont="1" applyProtection="1">
      <protection locked="0"/>
    </xf>
    <xf numFmtId="0" fontId="7" fillId="0" borderId="0" xfId="0" applyFont="1" applyProtection="1">
      <protection locked="0"/>
    </xf>
    <xf numFmtId="165" fontId="1" fillId="0" borderId="1" xfId="0" applyNumberFormat="1" applyFont="1" applyBorder="1" applyAlignment="1" applyProtection="1">
      <alignment horizontal="center" vertical="center"/>
    </xf>
    <xf numFmtId="165" fontId="1" fillId="0" borderId="0" xfId="0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1" fillId="4" borderId="0" xfId="0" applyFont="1" applyFill="1" applyBorder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7" fillId="4" borderId="0" xfId="0" applyFont="1" applyFill="1" applyBorder="1" applyAlignment="1" applyProtection="1">
      <alignment vertical="center"/>
      <protection locked="0"/>
    </xf>
    <xf numFmtId="0" fontId="4" fillId="5" borderId="1" xfId="0" quotePrefix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vertical="center"/>
      <protection locked="0"/>
    </xf>
    <xf numFmtId="166" fontId="4" fillId="4" borderId="3" xfId="0" applyNumberFormat="1" applyFont="1" applyFill="1" applyBorder="1" applyAlignment="1" applyProtection="1">
      <alignment vertical="center"/>
      <protection locked="0"/>
    </xf>
    <xf numFmtId="166" fontId="4" fillId="0" borderId="0" xfId="0" applyNumberFormat="1" applyFont="1" applyFill="1" applyBorder="1" applyAlignment="1" applyProtection="1">
      <alignment vertical="center"/>
      <protection locked="0"/>
    </xf>
    <xf numFmtId="166" fontId="11" fillId="0" borderId="0" xfId="0" applyNumberFormat="1" applyFont="1" applyFill="1" applyBorder="1" applyAlignment="1" applyProtection="1">
      <alignment vertical="center"/>
      <protection locked="0"/>
    </xf>
    <xf numFmtId="166" fontId="7" fillId="0" borderId="0" xfId="0" applyNumberFormat="1" applyFont="1" applyFill="1" applyBorder="1" applyAlignment="1" applyProtection="1">
      <alignment vertical="center"/>
      <protection locked="0"/>
    </xf>
    <xf numFmtId="166" fontId="4" fillId="0" borderId="0" xfId="0" applyNumberFormat="1" applyFont="1" applyFill="1" applyAlignment="1" applyProtection="1">
      <alignment vertical="center"/>
      <protection locked="0"/>
    </xf>
    <xf numFmtId="166" fontId="4" fillId="0" borderId="0" xfId="0" applyNumberFormat="1" applyFont="1" applyAlignment="1" applyProtection="1">
      <alignment vertical="center"/>
      <protection locked="0"/>
    </xf>
    <xf numFmtId="166" fontId="4" fillId="5" borderId="1" xfId="0" quotePrefix="1" applyNumberFormat="1" applyFont="1" applyFill="1" applyBorder="1" applyAlignment="1" applyProtection="1">
      <alignment horizontal="center" vertical="center"/>
    </xf>
    <xf numFmtId="166" fontId="4" fillId="0" borderId="0" xfId="0" applyNumberFormat="1" applyFont="1" applyAlignment="1" applyProtection="1">
      <alignment horizontal="center"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</xf>
    <xf numFmtId="166" fontId="3" fillId="4" borderId="1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Alignment="1" applyProtection="1">
      <alignment horizontal="center" vertical="center"/>
      <protection locked="0"/>
    </xf>
    <xf numFmtId="166" fontId="3" fillId="0" borderId="0" xfId="0" applyNumberFormat="1" applyFont="1" applyFill="1" applyAlignment="1" applyProtection="1">
      <alignment horizontal="center" vertical="center"/>
      <protection locked="0"/>
    </xf>
    <xf numFmtId="166" fontId="5" fillId="0" borderId="0" xfId="0" applyNumberFormat="1" applyFont="1" applyFill="1" applyAlignment="1" applyProtection="1">
      <alignment horizontal="center" vertical="center"/>
      <protection locked="0"/>
    </xf>
    <xf numFmtId="166" fontId="3" fillId="0" borderId="0" xfId="0" applyNumberFormat="1" applyFont="1" applyFill="1" applyBorder="1" applyAlignment="1" applyProtection="1">
      <alignment horizontal="center" vertical="center"/>
      <protection locked="0"/>
    </xf>
    <xf numFmtId="166" fontId="3" fillId="0" borderId="0" xfId="0" applyNumberFormat="1" applyFont="1" applyFill="1" applyBorder="1" applyAlignment="1" applyProtection="1">
      <alignment vertical="center"/>
      <protection locked="0"/>
    </xf>
    <xf numFmtId="166" fontId="3" fillId="0" borderId="0" xfId="0" applyNumberFormat="1" applyFont="1" applyFill="1" applyAlignment="1" applyProtection="1">
      <alignment vertical="center"/>
      <protection locked="0"/>
    </xf>
    <xf numFmtId="166" fontId="7" fillId="0" borderId="0" xfId="0" applyNumberFormat="1" applyFont="1" applyFill="1" applyBorder="1" applyAlignment="1" applyProtection="1">
      <alignment horizontal="center" vertical="center"/>
      <protection locked="0"/>
    </xf>
    <xf numFmtId="166" fontId="12" fillId="0" borderId="0" xfId="0" applyNumberFormat="1" applyFont="1" applyFill="1" applyBorder="1" applyAlignment="1" applyProtection="1">
      <alignment horizontal="center" vertical="center"/>
      <protection locked="0"/>
    </xf>
    <xf numFmtId="166" fontId="3" fillId="0" borderId="0" xfId="0" applyNumberFormat="1" applyFont="1" applyBorder="1" applyAlignment="1" applyProtection="1">
      <alignment horizontal="center" vertical="center"/>
      <protection locked="0"/>
    </xf>
    <xf numFmtId="21" fontId="3" fillId="0" borderId="0" xfId="0" applyNumberFormat="1" applyFont="1" applyAlignment="1" applyProtection="1">
      <alignment horizontal="center" vertical="center"/>
      <protection locked="0"/>
    </xf>
    <xf numFmtId="21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0</xdr:col>
      <xdr:colOff>838200</xdr:colOff>
      <xdr:row>0</xdr:row>
      <xdr:rowOff>495300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0" y="19050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0</xdr:col>
      <xdr:colOff>857250</xdr:colOff>
      <xdr:row>0</xdr:row>
      <xdr:rowOff>495300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0" y="19050"/>
          <a:ext cx="85725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847725</xdr:colOff>
      <xdr:row>0</xdr:row>
      <xdr:rowOff>495300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9525" y="19050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0</xdr:col>
      <xdr:colOff>838200</xdr:colOff>
      <xdr:row>0</xdr:row>
      <xdr:rowOff>495300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0" y="19050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22412</xdr:rowOff>
    </xdr:from>
    <xdr:to>
      <xdr:col>0</xdr:col>
      <xdr:colOff>838200</xdr:colOff>
      <xdr:row>0</xdr:row>
      <xdr:rowOff>498662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0" y="22412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0</xdr:col>
      <xdr:colOff>838200</xdr:colOff>
      <xdr:row>0</xdr:row>
      <xdr:rowOff>495300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0" y="19050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0</xdr:col>
      <xdr:colOff>838200</xdr:colOff>
      <xdr:row>0</xdr:row>
      <xdr:rowOff>495300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0" y="19050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0</xdr:col>
      <xdr:colOff>847725</xdr:colOff>
      <xdr:row>0</xdr:row>
      <xdr:rowOff>485775</xdr:rowOff>
    </xdr:to>
    <xdr:sp macro="[0]!Botão1_Clique" textlink="">
      <xdr:nvSpPr>
        <xdr:cNvPr id="2" name="Retângulo 1"/>
        <xdr:cNvSpPr>
          <a:spLocks/>
        </xdr:cNvSpPr>
      </xdr:nvSpPr>
      <xdr:spPr>
        <a:xfrm>
          <a:off x="9525" y="9525"/>
          <a:ext cx="838200" cy="476250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 baseline="0"/>
            <a:t>APLICATIVO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Calculadora</a:t>
              </a:r>
              <a:endParaRPr lang="pt-B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29"/>
  <sheetViews>
    <sheetView windowProtection="1" zoomScaleNormal="100" workbookViewId="0">
      <selection activeCell="N10" sqref="N10"/>
    </sheetView>
  </sheetViews>
  <sheetFormatPr defaultRowHeight="20.100000000000001" customHeight="1" x14ac:dyDescent="0.2"/>
  <cols>
    <col min="1" max="1" width="13" style="2" customWidth="1"/>
    <col min="2" max="2" width="10.42578125" style="32" customWidth="1"/>
    <col min="3" max="9" width="8.140625" style="32" bestFit="1" customWidth="1"/>
    <col min="10" max="10" width="8" style="32" customWidth="1"/>
    <col min="11" max="12" width="8.140625" style="32" bestFit="1" customWidth="1"/>
    <col min="13" max="13" width="8.28515625" style="32" customWidth="1"/>
    <col min="14" max="18" width="8.140625" style="32" bestFit="1" customWidth="1"/>
    <col min="19" max="19" width="7.7109375" style="32" customWidth="1"/>
    <col min="20" max="20" width="10.7109375" style="32" bestFit="1" customWidth="1"/>
    <col min="21" max="21" width="8.140625" style="2" bestFit="1" customWidth="1"/>
    <col min="22" max="16384" width="9.140625" style="2"/>
  </cols>
  <sheetData>
    <row r="1" spans="1:24" ht="39.950000000000003" customHeight="1" x14ac:dyDescent="0.2">
      <c r="A1" s="30">
        <v>2.7777777777777779E-3</v>
      </c>
      <c r="B1" s="71" t="s">
        <v>29</v>
      </c>
      <c r="C1" s="71"/>
      <c r="D1" s="71"/>
      <c r="E1" s="71"/>
      <c r="F1" s="71"/>
      <c r="G1" s="71"/>
      <c r="H1" s="71"/>
      <c r="I1" s="71"/>
      <c r="J1" s="65" t="s">
        <v>110</v>
      </c>
      <c r="K1" s="66"/>
      <c r="L1" s="66"/>
      <c r="M1" s="67" t="s">
        <v>111</v>
      </c>
      <c r="N1" s="66"/>
      <c r="O1" s="66"/>
      <c r="P1" s="66"/>
      <c r="Q1" s="66"/>
      <c r="R1" s="66"/>
      <c r="S1" s="66"/>
      <c r="T1" s="63"/>
    </row>
    <row r="2" spans="1:24" ht="20.100000000000001" customHeight="1" x14ac:dyDescent="0.2">
      <c r="A2" s="68" t="s">
        <v>0</v>
      </c>
      <c r="B2" s="68" t="s">
        <v>46</v>
      </c>
      <c r="C2" s="68" t="s">
        <v>30</v>
      </c>
      <c r="D2" s="68" t="s">
        <v>2</v>
      </c>
      <c r="E2" s="68" t="s">
        <v>31</v>
      </c>
      <c r="F2" s="68" t="s">
        <v>32</v>
      </c>
      <c r="G2" s="68" t="s">
        <v>33</v>
      </c>
      <c r="H2" s="68" t="s">
        <v>34</v>
      </c>
      <c r="I2" s="68" t="s">
        <v>35</v>
      </c>
      <c r="J2" s="68" t="s">
        <v>36</v>
      </c>
      <c r="K2" s="68" t="s">
        <v>37</v>
      </c>
      <c r="L2" s="68" t="s">
        <v>38</v>
      </c>
      <c r="M2" s="68" t="s">
        <v>39</v>
      </c>
      <c r="N2" s="68" t="s">
        <v>40</v>
      </c>
      <c r="O2" s="68" t="s">
        <v>41</v>
      </c>
      <c r="P2" s="68" t="s">
        <v>42</v>
      </c>
      <c r="Q2" s="68" t="s">
        <v>43</v>
      </c>
      <c r="R2" s="68" t="s">
        <v>44</v>
      </c>
      <c r="S2" s="68" t="s">
        <v>45</v>
      </c>
      <c r="T2" s="31"/>
    </row>
    <row r="3" spans="1:24" ht="20.100000000000001" customHeight="1" x14ac:dyDescent="0.2">
      <c r="A3" s="69" t="s">
        <v>46</v>
      </c>
      <c r="B3" s="27"/>
      <c r="C3" s="28">
        <v>2.1180555555555553E-3</v>
      </c>
      <c r="D3" s="19">
        <f>C3+D4</f>
        <v>4.9768518518518521E-3</v>
      </c>
      <c r="E3" s="19">
        <f>C3+D4+E5</f>
        <v>7.0833333333333338E-3</v>
      </c>
      <c r="F3" s="19">
        <f>C3+D4+E5+F6</f>
        <v>8.7962962962962968E-3</v>
      </c>
      <c r="G3" s="19">
        <f>C3+D4+E5+F6+G7</f>
        <v>1.0925925925925926E-2</v>
      </c>
      <c r="H3" s="19">
        <f>C3+D4+E5+F6+G7+H8</f>
        <v>1.3206018518518518E-2</v>
      </c>
      <c r="I3" s="19">
        <f>C3+D4+E5+F6+G7+H8+I9</f>
        <v>1.5497685185185184E-2</v>
      </c>
      <c r="J3" s="19">
        <f>C3+D4+E5+F6+G7+H8+I9+J10</f>
        <v>1.7430555555555553E-2</v>
      </c>
      <c r="K3" s="19">
        <f>D4+E5+F6+G7+H8+I9+J10+K11+C3</f>
        <v>2.2314814814814815E-2</v>
      </c>
      <c r="L3" s="19">
        <f>D4+E5+F6+G7+H8+I9+J10+K11+L12+C3</f>
        <v>2.585648148148148E-2</v>
      </c>
      <c r="M3" s="19">
        <f>D4+E5+F6+G7+H8+I9+J10+K11+L12+M13+C3</f>
        <v>2.961805555555555E-2</v>
      </c>
      <c r="N3" s="19">
        <f>D4+E5+F6+G7+H8+I9+J10+K11+L12+M13+N14+C3</f>
        <v>3.1736111111111104E-2</v>
      </c>
      <c r="O3" s="19">
        <f>D4+E5+F6+G7+H8+I9+J10+K11+L12+M13+N14+C3+O15</f>
        <v>3.4548611111111106E-2</v>
      </c>
      <c r="P3" s="19">
        <f>C3+D4+E5+F6+G7+H8+I9+J10+K11+L12+M13+N14+O15+P16</f>
        <v>4.0219907407407399E-2</v>
      </c>
      <c r="Q3" s="19">
        <f>C3+D4+E5+F6+G7+H8+I9+J10+K11+L12+M13+N14+O15+P16+Q17</f>
        <v>4.3391203703703696E-2</v>
      </c>
      <c r="R3" s="19">
        <f>C3+D4+E5+F6+G7+H8+I9+J10+K11+L12+M13+N14+O15+P16+Q17+R18</f>
        <v>4.7453703703703692E-2</v>
      </c>
      <c r="S3" s="19">
        <f>C3+D4+E5+F6+G7+H8+I9+J10+K11+L12+M13+N14+O15+P16+Q17+R18+S19</f>
        <v>5.0879629629629622E-2</v>
      </c>
      <c r="T3" s="91" t="s">
        <v>117</v>
      </c>
      <c r="U3" s="92"/>
    </row>
    <row r="4" spans="1:24" ht="20.100000000000001" customHeight="1" x14ac:dyDescent="0.2">
      <c r="A4" s="70" t="str">
        <f>C2</f>
        <v>LUZ</v>
      </c>
      <c r="B4" s="8">
        <v>2.2685185185185182E-3</v>
      </c>
      <c r="C4" s="4"/>
      <c r="D4" s="28">
        <v>2.8587962962962963E-3</v>
      </c>
      <c r="E4" s="19">
        <f>D4+E5</f>
        <v>4.9652777777777777E-3</v>
      </c>
      <c r="F4" s="19">
        <f>D4+E5+F6</f>
        <v>6.6782407407407407E-3</v>
      </c>
      <c r="G4" s="19">
        <f>D4+E5+F6+G7</f>
        <v>8.8078703703703704E-3</v>
      </c>
      <c r="H4" s="19">
        <f>D4+E5+F6+G7+H8</f>
        <v>1.1087962962962963E-2</v>
      </c>
      <c r="I4" s="19">
        <f>D4+E5+F6+G7+H8+I9</f>
        <v>1.337962962962963E-2</v>
      </c>
      <c r="J4" s="19">
        <f>D4+E5+F6+G7+H8+I9+J10</f>
        <v>1.53125E-2</v>
      </c>
      <c r="K4" s="19">
        <f>E5+F6+G7+H8+I9+J10+K11+D4</f>
        <v>2.0196759259259258E-2</v>
      </c>
      <c r="L4" s="19">
        <f>E5+F6+G7+H8+I9+J10+K11+L12+D4</f>
        <v>2.3738425925925923E-2</v>
      </c>
      <c r="M4" s="19">
        <f>E5+F6+G7+H8+I9+J10+K11+L12+M13+D4</f>
        <v>2.7499999999999997E-2</v>
      </c>
      <c r="N4" s="19">
        <f>E5+F6+G7+H8+I9+J10+K11+L12+M13+N14+D4</f>
        <v>2.961805555555555E-2</v>
      </c>
      <c r="O4" s="19">
        <f>D4+E5+F6+G7+H8+I9+J10+K11+L12+M13+N14+O15</f>
        <v>3.2430555555555553E-2</v>
      </c>
      <c r="P4" s="19">
        <f>D4+E5+F6+G7+H8+I9+J10+K11+L12+M13+N14+O15+P16</f>
        <v>3.8101851851851845E-2</v>
      </c>
      <c r="Q4" s="19">
        <f>D4+E5+F6+G7+H8+I9+J10+K11+L12+M13+N14+O15+P16+Q17</f>
        <v>4.1273148148148142E-2</v>
      </c>
      <c r="R4" s="19">
        <f>D4+E5+F6+G7+H8+I9+J10+K11+L12+M13+N14+O15+P16+Q17+R18</f>
        <v>4.5335648148148139E-2</v>
      </c>
      <c r="S4" s="19">
        <f>D4+E5+F6+G7+H8+I9+J10+K11+L12+M13+N14+O15+P16+Q17+R18+S19</f>
        <v>4.8761574074074068E-2</v>
      </c>
      <c r="T4" s="80">
        <v>3.4722222222222224E-4</v>
      </c>
      <c r="U4" s="92"/>
    </row>
    <row r="5" spans="1:24" ht="20.100000000000001" customHeight="1" x14ac:dyDescent="0.2">
      <c r="A5" s="70" t="str">
        <f>D2</f>
        <v>BFU</v>
      </c>
      <c r="B5" s="7">
        <f>B4+C5</f>
        <v>5.4166666666666669E-3</v>
      </c>
      <c r="C5" s="8">
        <v>3.1481481481481482E-3</v>
      </c>
      <c r="D5" s="4"/>
      <c r="E5" s="28">
        <v>2.1064814814814813E-3</v>
      </c>
      <c r="F5" s="19">
        <f>E5+F6</f>
        <v>3.8194444444444443E-3</v>
      </c>
      <c r="G5" s="19">
        <f>E5+F6+G7</f>
        <v>5.9490740740740736E-3</v>
      </c>
      <c r="H5" s="19">
        <f>E5+F6+G7+H8</f>
        <v>8.2291666666666659E-3</v>
      </c>
      <c r="I5" s="19">
        <f>E5+F6+G7+H8+I9</f>
        <v>1.0520833333333333E-2</v>
      </c>
      <c r="J5" s="19">
        <f>E5+F6+G7+H8+I9+J10</f>
        <v>1.2453703703703703E-2</v>
      </c>
      <c r="K5" s="19">
        <f>F6+G7+H8+I9+J10+K11+E5</f>
        <v>1.7337962962962961E-2</v>
      </c>
      <c r="L5" s="19">
        <f>F6+G7+H8+I9+J10+K11+L12+E5</f>
        <v>2.0879629629629626E-2</v>
      </c>
      <c r="M5" s="19">
        <f>F6+G7+H8+I9+J10+K11+L12+M13+E5</f>
        <v>2.46412037037037E-2</v>
      </c>
      <c r="N5" s="19">
        <f>F6+G7+H8+I9+J10+K11+L12+M13+N14+E5</f>
        <v>2.6759259259259253E-2</v>
      </c>
      <c r="O5" s="19">
        <f>E5+F6+G7+H8+I9+J10+K11+L12+M13+N14+O15</f>
        <v>2.9571759259259253E-2</v>
      </c>
      <c r="P5" s="19">
        <f>E5+F6+G7+H8+I9+J10+K11+L12+M13+N14+O15+P16</f>
        <v>3.5243055555555548E-2</v>
      </c>
      <c r="Q5" s="19">
        <f>E5+F6+G7+H8+I9+J10+K11+L12+M13+N14+O15+P16+Q17</f>
        <v>3.8414351851851845E-2</v>
      </c>
      <c r="R5" s="19">
        <f>E5+F6+G7+H8+I9+J10+K11+L12+M13+N14+O15+P16+Q17+R18</f>
        <v>4.2476851851851842E-2</v>
      </c>
      <c r="S5" s="19">
        <f>E5+F6+G7+H8+I9+J10+K11+L12+M13+N14+O15+P16+Q17+R18+S19</f>
        <v>4.5902777777777765E-2</v>
      </c>
      <c r="T5" s="80">
        <v>3.4722222222222224E-4</v>
      </c>
      <c r="U5" s="92"/>
      <c r="V5" s="92"/>
      <c r="W5" s="26"/>
      <c r="X5" s="26"/>
    </row>
    <row r="6" spans="1:24" ht="20.100000000000001" customHeight="1" x14ac:dyDescent="0.2">
      <c r="A6" s="70" t="str">
        <f>E2</f>
        <v>ABR</v>
      </c>
      <c r="B6" s="7">
        <f>B4+C5+D6</f>
        <v>7.4074074074074077E-3</v>
      </c>
      <c r="C6" s="7">
        <f>C5+D6</f>
        <v>5.138888888888889E-3</v>
      </c>
      <c r="D6" s="8">
        <v>1.9907407407407408E-3</v>
      </c>
      <c r="E6" s="4"/>
      <c r="F6" s="28">
        <v>1.712962962962963E-3</v>
      </c>
      <c r="G6" s="19">
        <f>F6+G7</f>
        <v>3.8425925925925928E-3</v>
      </c>
      <c r="H6" s="19">
        <f>F6+G7+H8</f>
        <v>6.1226851851851859E-3</v>
      </c>
      <c r="I6" s="19">
        <f>F6+G7+H8+I9</f>
        <v>8.4143518518518534E-3</v>
      </c>
      <c r="J6" s="19">
        <f>F6+G7+H8+I9+J10</f>
        <v>1.0347222222222223E-2</v>
      </c>
      <c r="K6" s="19">
        <f>G7+H8+I9+J10+K11+F6</f>
        <v>1.5231481481481483E-2</v>
      </c>
      <c r="L6" s="19">
        <f>G7+H8+I9+J10+K11+L12+F6</f>
        <v>1.877314814814815E-2</v>
      </c>
      <c r="M6" s="19">
        <f>G7+H8+I9+J10+K11+L12+M13+F6</f>
        <v>2.253472222222222E-2</v>
      </c>
      <c r="N6" s="19">
        <f>G7+H8+I9+J10+K11+L12+M13+N14+F6</f>
        <v>2.465277777777778E-2</v>
      </c>
      <c r="O6" s="19">
        <f>F6+G7+H8+I9+J10+K11+L12+M13+N14+O15</f>
        <v>2.7465277777777772E-2</v>
      </c>
      <c r="P6" s="19">
        <f>F6+G7+H8+I9+J10+K11+L12+M13+N14+O15+P16</f>
        <v>3.3136574074074068E-2</v>
      </c>
      <c r="Q6" s="19">
        <f>F6+G7+H8+I9+J10+K11+L12+M13+N14+O15+P16+Q17</f>
        <v>3.6307870370370365E-2</v>
      </c>
      <c r="R6" s="19">
        <f>F6+G7+H8+I9+J10+K11+L12+M13+N14+O15+P16+Q17+R18</f>
        <v>4.0370370370370362E-2</v>
      </c>
      <c r="S6" s="19">
        <f>F6+G7+H8+I9+J10+K11+L12+M13+N14+O15+P16+Q17+R18+S19</f>
        <v>4.3796296296296292E-2</v>
      </c>
      <c r="T6" s="80">
        <v>3.4722222222222224E-4</v>
      </c>
      <c r="U6" s="92"/>
    </row>
    <row r="7" spans="1:24" ht="20.100000000000001" customHeight="1" x14ac:dyDescent="0.2">
      <c r="A7" s="70" t="str">
        <f>F2</f>
        <v>LPA</v>
      </c>
      <c r="B7" s="7">
        <f>B4+C5+D6+E7</f>
        <v>9.0162037037037034E-3</v>
      </c>
      <c r="C7" s="7">
        <f>C5+D6+E7</f>
        <v>6.7476851851851856E-3</v>
      </c>
      <c r="D7" s="7">
        <f>D6+E7</f>
        <v>3.5995370370370374E-3</v>
      </c>
      <c r="E7" s="8">
        <v>1.6087962962962963E-3</v>
      </c>
      <c r="F7" s="4"/>
      <c r="G7" s="28">
        <v>2.1296296296296298E-3</v>
      </c>
      <c r="H7" s="19">
        <f>G7+H8</f>
        <v>4.4097222222222229E-3</v>
      </c>
      <c r="I7" s="19">
        <f>G7+H8+I9</f>
        <v>6.7013888888888895E-3</v>
      </c>
      <c r="J7" s="19">
        <f>G7+H8+I9+J10</f>
        <v>8.6342592592592599E-3</v>
      </c>
      <c r="K7" s="19">
        <f>H8+I9+J10+K11+G7</f>
        <v>1.351851851851852E-2</v>
      </c>
      <c r="L7" s="19">
        <f>H8+I9+J10+K11+L12+G7</f>
        <v>1.7060185185185185E-2</v>
      </c>
      <c r="M7" s="19">
        <f>H8+I9+J10+K11+L12+M13+G7</f>
        <v>2.0821759259259262E-2</v>
      </c>
      <c r="N7" s="19">
        <f>H8+I9+J10+K11+L12+M13+N14+G7</f>
        <v>2.2939814814814819E-2</v>
      </c>
      <c r="O7" s="19">
        <f>G7+H8+I9+J10+K11+L12+M13+N14+O15</f>
        <v>2.5752314814814815E-2</v>
      </c>
      <c r="P7" s="19">
        <f>G7+H8+I9+J10+K11+L12+M13+N14+O15+P16</f>
        <v>3.142361111111111E-2</v>
      </c>
      <c r="Q7" s="19">
        <f>G7+H8+I9+J10+K11+L12+M13+N14+O15+P16+Q17</f>
        <v>3.4594907407407408E-2</v>
      </c>
      <c r="R7" s="19">
        <f>G7+H8+I9+J10+K11+L12+M13+N14+O15+P16+Q17+R18</f>
        <v>3.8657407407407404E-2</v>
      </c>
      <c r="S7" s="19">
        <f>G7+H8+I9+J10+K11+L12+M13+N14+O15+P16+Q17+R18+S19</f>
        <v>4.2083333333333334E-2</v>
      </c>
      <c r="T7" s="80">
        <v>3.4722222222222224E-4</v>
      </c>
      <c r="U7" s="26"/>
      <c r="W7" s="26"/>
    </row>
    <row r="8" spans="1:24" ht="20.100000000000001" customHeight="1" x14ac:dyDescent="0.2">
      <c r="A8" s="70" t="str">
        <f>G2</f>
        <v>PQR</v>
      </c>
      <c r="B8" s="7">
        <f>B4+C5+D6+E7+F8</f>
        <v>1.1030092592592591E-2</v>
      </c>
      <c r="C8" s="7">
        <f>C5+D6+E7+F8</f>
        <v>8.7615740740740744E-3</v>
      </c>
      <c r="D8" s="7">
        <f>D6+E7+F8</f>
        <v>5.6134259259259262E-3</v>
      </c>
      <c r="E8" s="7">
        <f>E7+F8</f>
        <v>3.6226851851851854E-3</v>
      </c>
      <c r="F8" s="8">
        <v>2.0138888888888888E-3</v>
      </c>
      <c r="G8" s="4"/>
      <c r="H8" s="28">
        <v>2.2800925925925927E-3</v>
      </c>
      <c r="I8" s="19">
        <f>H8+I9</f>
        <v>4.5717592592592598E-3</v>
      </c>
      <c r="J8" s="19">
        <f>H8+I9+J10</f>
        <v>6.5046296296296302E-3</v>
      </c>
      <c r="K8" s="19">
        <f>I9+J10+K11+H8</f>
        <v>1.1388888888888888E-2</v>
      </c>
      <c r="L8" s="19">
        <f>I9+J10+K11+L12+H8</f>
        <v>1.4930555555555555E-2</v>
      </c>
      <c r="M8" s="19">
        <f>I9+J10+K11+L12+M13+H8</f>
        <v>1.8692129629629631E-2</v>
      </c>
      <c r="N8" s="19">
        <f>I9+J10+K11+L12+M13+N14+H8</f>
        <v>2.0810185185185185E-2</v>
      </c>
      <c r="O8" s="19">
        <f>H8+I9+J10+K11+L12+M13+N14+O15</f>
        <v>2.3622685185185188E-2</v>
      </c>
      <c r="P8" s="19">
        <f>H8+I9+J10+K11+L12+M13+N14+O15+P16</f>
        <v>2.9293981481481483E-2</v>
      </c>
      <c r="Q8" s="19">
        <f>H8+I9+J10+K11+L12+M13+N14+O15+P16+Q17</f>
        <v>3.246527777777778E-2</v>
      </c>
      <c r="R8" s="19">
        <f>H8+I9+J10+K11+L12+M13+N14+O15+P16+Q17+R18</f>
        <v>3.6527777777777777E-2</v>
      </c>
      <c r="S8" s="19">
        <f>H8+I9+J10+K11+L12+M13+N14+O15+P16+Q17+R18+S19</f>
        <v>3.99537037037037E-2</v>
      </c>
      <c r="T8" s="80">
        <v>3.4722222222222224E-4</v>
      </c>
      <c r="U8" s="26"/>
    </row>
    <row r="9" spans="1:24" ht="20.100000000000001" customHeight="1" x14ac:dyDescent="0.2">
      <c r="A9" s="70" t="str">
        <f>H2</f>
        <v>PRT</v>
      </c>
      <c r="B9" s="7">
        <f>B4+C5+D6+E7+F8+G9</f>
        <v>1.292824074074074E-2</v>
      </c>
      <c r="C9" s="7">
        <f>C5+D6+E7+F8+G9</f>
        <v>1.0659722222222223E-2</v>
      </c>
      <c r="D9" s="7">
        <f>D6+E7+F8+G9</f>
        <v>7.5115740740740742E-3</v>
      </c>
      <c r="E9" s="7">
        <f>E7+F8+G9</f>
        <v>5.5208333333333333E-3</v>
      </c>
      <c r="F9" s="7">
        <f>F8+G9</f>
        <v>3.9120370370370368E-3</v>
      </c>
      <c r="G9" s="8">
        <v>1.8981481481481482E-3</v>
      </c>
      <c r="H9" s="4"/>
      <c r="I9" s="28">
        <v>2.2916666666666667E-3</v>
      </c>
      <c r="J9" s="19">
        <f>I9+J10</f>
        <v>4.2245370370370371E-3</v>
      </c>
      <c r="K9" s="19">
        <f>I9+J10+K11</f>
        <v>9.1087962962962954E-3</v>
      </c>
      <c r="L9" s="19">
        <f>J10+K11+L12+I9</f>
        <v>1.2650462962962964E-2</v>
      </c>
      <c r="M9" s="19">
        <f>J10+K11+L12+M13+I9</f>
        <v>1.6412037037037037E-2</v>
      </c>
      <c r="N9" s="19">
        <f>J10+K11+L12+M13+N14+I9</f>
        <v>1.8530092592592595E-2</v>
      </c>
      <c r="O9" s="19">
        <f>I9+J10+K11+L12+M13+N14+O15</f>
        <v>2.134259259259259E-2</v>
      </c>
      <c r="P9" s="19">
        <f>I9+J10+K11+L12+M13+N14+O15+P16</f>
        <v>2.7013888888888886E-2</v>
      </c>
      <c r="Q9" s="19">
        <f>I9+J10+K11+L12+M13+N14+O15+P16+Q17</f>
        <v>3.0185185185185183E-2</v>
      </c>
      <c r="R9" s="19">
        <f>I9+J10+K11+L12+M13+N14+O15+P16+Q17+R18</f>
        <v>3.424768518518518E-2</v>
      </c>
      <c r="S9" s="19">
        <f>I9+J10+K11+L12+M13+N14+O15+P16+Q17+R18+S19</f>
        <v>3.7673611111111102E-2</v>
      </c>
      <c r="T9" s="80">
        <v>3.4722222222222224E-4</v>
      </c>
      <c r="U9" s="26"/>
    </row>
    <row r="10" spans="1:24" ht="20.100000000000001" customHeight="1" x14ac:dyDescent="0.2">
      <c r="A10" s="70" t="str">
        <f>I2</f>
        <v>VCL</v>
      </c>
      <c r="B10" s="7">
        <f>B4+C5+D6+E7+F8+G9+H10</f>
        <v>1.5497685185185184E-2</v>
      </c>
      <c r="C10" s="7">
        <f>C5+D6+E7+F8+G9+H10</f>
        <v>1.3229166666666667E-2</v>
      </c>
      <c r="D10" s="7">
        <f>D6+E7+F8+G9+H10</f>
        <v>1.0081018518518519E-2</v>
      </c>
      <c r="E10" s="7">
        <f>E7+F8+G9+H10</f>
        <v>8.0902777777777778E-3</v>
      </c>
      <c r="F10" s="7">
        <f>F8+G9+H10</f>
        <v>6.4814814814814813E-3</v>
      </c>
      <c r="G10" s="7">
        <f>G9+H10</f>
        <v>4.4675925925925924E-3</v>
      </c>
      <c r="H10" s="8">
        <v>2.5694444444444445E-3</v>
      </c>
      <c r="I10" s="4"/>
      <c r="J10" s="28">
        <v>1.9328703703703704E-3</v>
      </c>
      <c r="K10" s="19">
        <f>J10+K11</f>
        <v>6.8171296296296296E-3</v>
      </c>
      <c r="L10" s="19">
        <f>K11+L12+J10</f>
        <v>1.0358796296296297E-2</v>
      </c>
      <c r="M10" s="19">
        <f>K11+L12+M13+J10</f>
        <v>1.412037037037037E-2</v>
      </c>
      <c r="N10" s="19">
        <f>K11+L12+M13+N14+J10</f>
        <v>1.6238425925925924E-2</v>
      </c>
      <c r="O10" s="19">
        <f>J10+K11+L12+M13+N14+O15</f>
        <v>1.9050925925925926E-2</v>
      </c>
      <c r="P10" s="19">
        <f>J10+K11+L12+M13+N14+O15+P16</f>
        <v>2.4722222222222222E-2</v>
      </c>
      <c r="Q10" s="19">
        <f>J10+K11+L12+M13+N14+O15+P16+Q17</f>
        <v>2.7893518518518519E-2</v>
      </c>
      <c r="R10" s="19">
        <f>J10+K11+L12+M13+N14+O15+P16+Q17+R18</f>
        <v>3.1956018518518516E-2</v>
      </c>
      <c r="S10" s="19">
        <f>J10+K11+L12+M13+N14+O15+P16+Q17+R18+S19</f>
        <v>3.5381944444444438E-2</v>
      </c>
      <c r="T10" s="80">
        <v>3.4722222222222224E-4</v>
      </c>
      <c r="U10" s="92"/>
    </row>
    <row r="11" spans="1:24" ht="20.100000000000001" customHeight="1" x14ac:dyDescent="0.2">
      <c r="A11" s="70" t="str">
        <f>J2</f>
        <v>JRG</v>
      </c>
      <c r="B11" s="7">
        <f>B4+C5+D6+E7+F8+G9+H10+I11</f>
        <v>1.7523148148148145E-2</v>
      </c>
      <c r="C11" s="7">
        <f>C5+D6+E7+F8+G9+H10+I11</f>
        <v>1.525462962962963E-2</v>
      </c>
      <c r="D11" s="7">
        <f>D6+E7+F8+G9+H10+I11</f>
        <v>1.2106481481481482E-2</v>
      </c>
      <c r="E11" s="7">
        <f>+E7+F8+G9+H10+I11</f>
        <v>1.0115740740740741E-2</v>
      </c>
      <c r="F11" s="7">
        <f>F8+G9+H10+I11</f>
        <v>8.5069444444444437E-3</v>
      </c>
      <c r="G11" s="7">
        <f>G9+H10+I11</f>
        <v>6.4930555555555557E-3</v>
      </c>
      <c r="H11" s="7">
        <f>H10+I11</f>
        <v>4.5949074074074069E-3</v>
      </c>
      <c r="I11" s="8">
        <v>2.0254629629629629E-3</v>
      </c>
      <c r="J11" s="4"/>
      <c r="K11" s="28">
        <v>4.8842592592592592E-3</v>
      </c>
      <c r="L11" s="19">
        <f>L12+K11</f>
        <v>8.4259259259259253E-3</v>
      </c>
      <c r="M11" s="19">
        <f>L12+M13+K11</f>
        <v>1.21875E-2</v>
      </c>
      <c r="N11" s="19">
        <f>L12+M13+N14+K11</f>
        <v>1.4305555555555554E-2</v>
      </c>
      <c r="O11" s="19">
        <f>K11+L12+M13+N14+O15</f>
        <v>1.7118055555555553E-2</v>
      </c>
      <c r="P11" s="19">
        <f>K11+L12+M13+N14+O15+P16</f>
        <v>2.2789351851851849E-2</v>
      </c>
      <c r="Q11" s="19">
        <f>K11+L12+M13+N14+O15+P16+Q17</f>
        <v>2.5960648148148146E-2</v>
      </c>
      <c r="R11" s="19">
        <f>K11+L12+M13+N14+O15+P16+Q17+R18</f>
        <v>3.0023148148148146E-2</v>
      </c>
      <c r="S11" s="19">
        <f>K11+L12+M13+N14+O15+P16+Q17+R18+S19</f>
        <v>3.3449074074074076E-2</v>
      </c>
      <c r="T11" s="80">
        <v>3.4722222222222224E-4</v>
      </c>
      <c r="U11" s="26"/>
    </row>
    <row r="12" spans="1:24" ht="20.100000000000001" customHeight="1" x14ac:dyDescent="0.2">
      <c r="A12" s="70" t="str">
        <f>K2</f>
        <v>PRU</v>
      </c>
      <c r="B12" s="7">
        <f>B4+C5+D6+E7+F8+G9+H10+I11+J12</f>
        <v>2.1678240740740738E-2</v>
      </c>
      <c r="C12" s="7">
        <f>C5+D6+E7+F8+G9+H10+I11+J12</f>
        <v>1.9409722222222224E-2</v>
      </c>
      <c r="D12" s="7">
        <f>D6+E7+F8+G9+H10+I11+J12</f>
        <v>1.6261574074074074E-2</v>
      </c>
      <c r="E12" s="7">
        <f>E7+F8+G9+H10+I11+J12</f>
        <v>1.4270833333333333E-2</v>
      </c>
      <c r="F12" s="7">
        <f>F8+G9+H10+I11+J12</f>
        <v>1.2662037037037038E-2</v>
      </c>
      <c r="G12" s="7">
        <f>G9+H10+I11+J12</f>
        <v>1.064814814814815E-2</v>
      </c>
      <c r="H12" s="7">
        <f>H10+I11+J12</f>
        <v>8.7500000000000008E-3</v>
      </c>
      <c r="I12" s="7">
        <f>I11+J12</f>
        <v>6.1805555555555555E-3</v>
      </c>
      <c r="J12" s="8">
        <v>4.155092592592593E-3</v>
      </c>
      <c r="K12" s="4"/>
      <c r="L12" s="28">
        <v>3.5416666666666665E-3</v>
      </c>
      <c r="M12" s="19">
        <f>M13+L12</f>
        <v>7.3032407407407404E-3</v>
      </c>
      <c r="N12" s="19">
        <f>M13+N14+L12</f>
        <v>9.4212962962962957E-3</v>
      </c>
      <c r="O12" s="19">
        <f>L12+M13+N14+O15</f>
        <v>1.2233796296296295E-2</v>
      </c>
      <c r="P12" s="19">
        <f>L12+M13+N14+O15+P16</f>
        <v>1.7905092592592591E-2</v>
      </c>
      <c r="Q12" s="19">
        <f>L12+M13+N14+O15+P16+Q17</f>
        <v>2.1076388888888888E-2</v>
      </c>
      <c r="R12" s="19">
        <f>L12+M13+N14+O15+P16+Q17+R18</f>
        <v>2.5138888888888888E-2</v>
      </c>
      <c r="S12" s="19">
        <f>L12+M13+N14+O15+P16+Q17+R18+S19</f>
        <v>2.8564814814814814E-2</v>
      </c>
      <c r="T12" s="80">
        <v>3.4722222222222224E-4</v>
      </c>
      <c r="U12" s="26"/>
    </row>
    <row r="13" spans="1:24" ht="20.100000000000001" customHeight="1" x14ac:dyDescent="0.2">
      <c r="A13" s="70" t="str">
        <f>L2</f>
        <v>CAI</v>
      </c>
      <c r="B13" s="7">
        <f>B4+C5+D6+E7+F8+G9+H10+I11+J12+K13</f>
        <v>2.5023148148148145E-2</v>
      </c>
      <c r="C13" s="7">
        <f>C5+D6+E7+F8+G9+H10+I11+J12+K13</f>
        <v>2.2754629629629632E-2</v>
      </c>
      <c r="D13" s="7">
        <f>D6+E7+F8+G9+H10+I11+J12+K13</f>
        <v>1.9606481481481482E-2</v>
      </c>
      <c r="E13" s="7">
        <f>E7+F8+G9+H10+I11+J12+K13</f>
        <v>1.7615740740740741E-2</v>
      </c>
      <c r="F13" s="7">
        <f>F8+G9+H10+I11+J12+K13</f>
        <v>1.6006944444444445E-2</v>
      </c>
      <c r="G13" s="7">
        <f>+G9+H10+I11+J12+K13</f>
        <v>1.3993055555555557E-2</v>
      </c>
      <c r="H13" s="7">
        <f>H10+I11+J12+K13</f>
        <v>1.2094907407407408E-2</v>
      </c>
      <c r="I13" s="7">
        <f>I11+J12+K13</f>
        <v>9.525462962962963E-3</v>
      </c>
      <c r="J13" s="7">
        <f>J12+K13</f>
        <v>7.4999999999999997E-3</v>
      </c>
      <c r="K13" s="8">
        <v>3.3449074074074071E-3</v>
      </c>
      <c r="L13" s="4"/>
      <c r="M13" s="28">
        <v>3.7615740740740739E-3</v>
      </c>
      <c r="N13" s="19">
        <f>N14+M13</f>
        <v>5.8796296296296287E-3</v>
      </c>
      <c r="O13" s="19">
        <f>M13+N14+O15</f>
        <v>8.6921296296296278E-3</v>
      </c>
      <c r="P13" s="19">
        <f>M13+N14+O15+P16</f>
        <v>1.4363425925925924E-2</v>
      </c>
      <c r="Q13" s="19">
        <f>M13+N14+O15+P16+Q17</f>
        <v>1.7534722222222219E-2</v>
      </c>
      <c r="R13" s="19">
        <f>M13+N14+O15+P16+Q17+R18</f>
        <v>2.1597222222222219E-2</v>
      </c>
      <c r="S13" s="19">
        <f>M13+N14+O15+P16+Q17+R18+S19</f>
        <v>2.5023148148148145E-2</v>
      </c>
      <c r="T13" s="80">
        <v>3.4722222222222224E-4</v>
      </c>
      <c r="U13" s="26"/>
    </row>
    <row r="14" spans="1:24" ht="20.100000000000001" customHeight="1" x14ac:dyDescent="0.2">
      <c r="A14" s="70" t="str">
        <f>M2</f>
        <v>FDR</v>
      </c>
      <c r="B14" s="7">
        <f>B4+C5+D6+E7+F8+G9+H10+I11+J12+K13+L14</f>
        <v>2.8692129629629626E-2</v>
      </c>
      <c r="C14" s="7">
        <f>C5+D6+E7+F8+G9+H10+I11+J12+K13+L14</f>
        <v>2.6423611111111113E-2</v>
      </c>
      <c r="D14" s="7">
        <f>D6+E7+F8+G9+H10+I11+J12+K13+L14</f>
        <v>2.3275462962962963E-2</v>
      </c>
      <c r="E14" s="7">
        <f>E7+F8+G9+H10+I11+J12+K13+L14</f>
        <v>2.1284722222222222E-2</v>
      </c>
      <c r="F14" s="7">
        <f>F8+G9+H10+I11+J12+K13+L14</f>
        <v>1.9675925925925927E-2</v>
      </c>
      <c r="G14" s="7">
        <f>G9+H10+I11+J12+K13+L14</f>
        <v>1.7662037037037039E-2</v>
      </c>
      <c r="H14" s="7">
        <f>H10+I11+J12+K13+L14</f>
        <v>1.576388888888889E-2</v>
      </c>
      <c r="I14" s="7">
        <f>I11+J12+K13+L14</f>
        <v>1.3194444444444444E-2</v>
      </c>
      <c r="J14" s="7">
        <f>J12+K13+L14</f>
        <v>1.1168981481481481E-2</v>
      </c>
      <c r="K14" s="7">
        <f>K13+L14</f>
        <v>7.013888888888889E-3</v>
      </c>
      <c r="L14" s="8">
        <v>3.6689814814814814E-3</v>
      </c>
      <c r="M14" s="4"/>
      <c r="N14" s="28">
        <v>2.1180555555555553E-3</v>
      </c>
      <c r="O14" s="19">
        <f>N14+O15</f>
        <v>4.9305555555555543E-3</v>
      </c>
      <c r="P14" s="19">
        <f>N14+O15+P16</f>
        <v>1.060185185185185E-2</v>
      </c>
      <c r="Q14" s="19">
        <f>N14+O15+P16+Q17</f>
        <v>1.3773148148148145E-2</v>
      </c>
      <c r="R14" s="19">
        <f>N14+O15+P16+Q17+R18</f>
        <v>1.7835648148148146E-2</v>
      </c>
      <c r="S14" s="19">
        <f>N14+O15+P16+Q17+R18+S19</f>
        <v>2.1261574074074072E-2</v>
      </c>
      <c r="T14" s="80">
        <v>3.4722222222222224E-4</v>
      </c>
      <c r="U14" s="26"/>
    </row>
    <row r="15" spans="1:24" ht="20.100000000000001" customHeight="1" x14ac:dyDescent="0.2">
      <c r="A15" s="70" t="str">
        <f>N2</f>
        <v>BFI</v>
      </c>
      <c r="B15" s="7">
        <f>B4+C5+D6+E7+F8+G9+H10+I11+J12+K13+L14+M15</f>
        <v>3.0717592592592588E-2</v>
      </c>
      <c r="C15" s="7">
        <f>C5+D6+E7+F8+G9+H10+I11+J12+K13+L14+M15</f>
        <v>2.8449074074074075E-2</v>
      </c>
      <c r="D15" s="7">
        <f>D6+E7+F8+G9+H10+I11+J12+K13+L14+M15</f>
        <v>2.5300925925925925E-2</v>
      </c>
      <c r="E15" s="7">
        <f>E7+F8+G9+H10+I11+J12+K13+L14+M15</f>
        <v>2.3310185185185184E-2</v>
      </c>
      <c r="F15" s="7">
        <f>F8+G9+H10+I11+J12+K13+L14+M15</f>
        <v>2.1701388888888888E-2</v>
      </c>
      <c r="G15" s="7">
        <f>G9+H10+I11+J12+K13+L14+M15</f>
        <v>1.96875E-2</v>
      </c>
      <c r="H15" s="7">
        <f>+H10+I11+J12+K13+L14+M15</f>
        <v>1.7789351851851851E-2</v>
      </c>
      <c r="I15" s="7">
        <f>I11+J12+K13+L14+M15</f>
        <v>1.5219907407407408E-2</v>
      </c>
      <c r="J15" s="7">
        <f>J12+K13+L14+M15</f>
        <v>1.3194444444444444E-2</v>
      </c>
      <c r="K15" s="7">
        <f>K13+L14+M15</f>
        <v>9.0393518518518522E-3</v>
      </c>
      <c r="L15" s="7">
        <f>L14+M15</f>
        <v>5.6944444444444447E-3</v>
      </c>
      <c r="M15" s="8">
        <v>2.0254629629629629E-3</v>
      </c>
      <c r="N15" s="4"/>
      <c r="O15" s="28">
        <v>2.8124999999999995E-3</v>
      </c>
      <c r="P15" s="19">
        <f>O15+P16</f>
        <v>8.4837962962962948E-3</v>
      </c>
      <c r="Q15" s="19">
        <f>O15+P16+Q17</f>
        <v>1.165509259259259E-2</v>
      </c>
      <c r="R15" s="19">
        <f>O15+P16+Q17+R18</f>
        <v>1.5717592592592589E-2</v>
      </c>
      <c r="S15" s="19">
        <f>O15+P16+Q17+R18+S19</f>
        <v>1.9143518518518515E-2</v>
      </c>
      <c r="T15" s="80">
        <v>3.4722222222222224E-4</v>
      </c>
      <c r="U15" s="92"/>
    </row>
    <row r="16" spans="1:24" ht="20.100000000000001" customHeight="1" x14ac:dyDescent="0.2">
      <c r="A16" s="70" t="str">
        <f>O2</f>
        <v>FMO</v>
      </c>
      <c r="B16" s="7">
        <f>B4+C5+D6+E7+F8+G9+H10+I11+J12+K13+L14+M15+N16</f>
        <v>3.3726851851851848E-2</v>
      </c>
      <c r="C16" s="7">
        <f>C5+D6+E7+F8+G9+H10+I11+J12+K13+L14+M15+N16</f>
        <v>3.1458333333333331E-2</v>
      </c>
      <c r="D16" s="7">
        <f>D6+E7+F8+G9+H10+I11+J12+K13+L14+M15+N16</f>
        <v>2.8310185185185185E-2</v>
      </c>
      <c r="E16" s="7">
        <f>E7+F8+G9+H10+I11+J12+K13+L14+M15+N16</f>
        <v>2.6319444444444444E-2</v>
      </c>
      <c r="F16" s="7">
        <f>F8+G9+H10+I11+J12+K13+L14+M15+-N16</f>
        <v>1.8692129629629628E-2</v>
      </c>
      <c r="G16" s="7">
        <f>G9+H10+I11+J12+K13+L14+M15+N16</f>
        <v>2.269675925925926E-2</v>
      </c>
      <c r="H16" s="7">
        <f>+H10+I11+J12+K13+L14+M15+N16</f>
        <v>2.0798611111111111E-2</v>
      </c>
      <c r="I16" s="7">
        <f>I11+J12+K13+L14+M15+N16</f>
        <v>1.8229166666666668E-2</v>
      </c>
      <c r="J16" s="7">
        <f>J12+K13+L14+M15+N16</f>
        <v>1.6203703703703703E-2</v>
      </c>
      <c r="K16" s="7">
        <f>K13+L14+M15+N16</f>
        <v>1.2048611111111111E-2</v>
      </c>
      <c r="L16" s="7">
        <f>L14+M15+N16</f>
        <v>8.7037037037037031E-3</v>
      </c>
      <c r="M16" s="7">
        <f>M15+N16</f>
        <v>5.0347222222222217E-3</v>
      </c>
      <c r="N16" s="29">
        <v>3.0092592592592588E-3</v>
      </c>
      <c r="O16" s="4"/>
      <c r="P16" s="28">
        <v>5.6712962962962958E-3</v>
      </c>
      <c r="Q16" s="19">
        <f>P16+Q17</f>
        <v>8.8425925925925911E-3</v>
      </c>
      <c r="R16" s="19">
        <f>P16+Q17+R18</f>
        <v>1.290509259259259E-2</v>
      </c>
      <c r="S16" s="19">
        <f>P16+Q17+R18+S19</f>
        <v>1.6331018518518516E-2</v>
      </c>
      <c r="T16" s="80">
        <v>3.4722222222222224E-4</v>
      </c>
      <c r="U16" s="92"/>
    </row>
    <row r="17" spans="1:22" ht="20.100000000000001" customHeight="1" x14ac:dyDescent="0.2">
      <c r="A17" s="70" t="s">
        <v>42</v>
      </c>
      <c r="B17" s="7">
        <f>B4+C5+D6+E7+F8+G9+H10+I11+J12+K13+L14+M15+N16+O17</f>
        <v>3.8703703703703699E-2</v>
      </c>
      <c r="C17" s="7">
        <f>C5+D6+E7+F8+G9+H10+I11+J12+K13+L14+M15+N16+O17</f>
        <v>3.6435185185185182E-2</v>
      </c>
      <c r="D17" s="7">
        <f>D6+E7+F8+G9+H10+I11+J12+K13+L14+M15+N16+O17</f>
        <v>3.3287037037037039E-2</v>
      </c>
      <c r="E17" s="7">
        <f>E7+F8+G9+H10+I11+J12+K13+L14+M15+N16+O17</f>
        <v>3.1296296296296294E-2</v>
      </c>
      <c r="F17" s="7">
        <f>F8+G9+H10+I11+J12+K13+L14+M15+N16+O17</f>
        <v>2.9687499999999999E-2</v>
      </c>
      <c r="G17" s="7">
        <f>G9+H10+I11+J12+K13+L14+M15+N16+O17</f>
        <v>2.7673611111111114E-2</v>
      </c>
      <c r="H17" s="7">
        <f>+H10+I11+J12+K13+L14+M15+N16+O17</f>
        <v>2.5775462962962965E-2</v>
      </c>
      <c r="I17" s="7">
        <f>I11+J12+K13+L14+M15+N16+O17</f>
        <v>2.3206018518518522E-2</v>
      </c>
      <c r="J17" s="7">
        <f>J12+K13+L14+M15+N16+O17</f>
        <v>2.1180555555555557E-2</v>
      </c>
      <c r="K17" s="7">
        <f>K13+L14+M15+N16+O17</f>
        <v>1.7025462962962964E-2</v>
      </c>
      <c r="L17" s="7">
        <f>L14+M15+N16+O17</f>
        <v>1.3680555555555555E-2</v>
      </c>
      <c r="M17" s="7">
        <f>M15+N16+O17</f>
        <v>1.0011574074074074E-2</v>
      </c>
      <c r="N17" s="7">
        <f>N16+O17</f>
        <v>7.9861111111111105E-3</v>
      </c>
      <c r="O17" s="8">
        <v>4.9768518518518521E-3</v>
      </c>
      <c r="P17" s="27"/>
      <c r="Q17" s="28">
        <v>3.1712962962962958E-3</v>
      </c>
      <c r="R17" s="19">
        <f>Q17+R18</f>
        <v>7.2337962962962955E-3</v>
      </c>
      <c r="S17" s="19">
        <f>Q17+R18+S19</f>
        <v>1.0659722222222221E-2</v>
      </c>
      <c r="T17" s="80">
        <v>3.4722222222222224E-4</v>
      </c>
      <c r="U17" s="92"/>
    </row>
    <row r="18" spans="1:22" ht="20.100000000000001" customHeight="1" x14ac:dyDescent="0.2">
      <c r="A18" s="70" t="s">
        <v>43</v>
      </c>
      <c r="B18" s="7">
        <f>B4+C5+D6+E7+F8+G9+H10+I11+J12+K13+L14+M15+N16+O17+P18</f>
        <v>4.1539351851851848E-2</v>
      </c>
      <c r="C18" s="7">
        <f>C5+D6+E7+F8+G9+H10+I11+J12+K13+L14+M15+N16+O17+P18</f>
        <v>3.9270833333333331E-2</v>
      </c>
      <c r="D18" s="7">
        <f>D6+E7+F8+G9+H10+I11+J12+K13+L14+M15+N16+O17+P18</f>
        <v>3.6122685185185188E-2</v>
      </c>
      <c r="E18" s="7">
        <f>E7+F8+G9+H10+I11+J12+K13+L14+M15+N16+O17+P18</f>
        <v>3.4131944444444444E-2</v>
      </c>
      <c r="F18" s="7">
        <f>F8+G9+H10+I11+J12+K13+L14+M15+N16+O17+P18</f>
        <v>3.2523148148148148E-2</v>
      </c>
      <c r="G18" s="7">
        <f>G9+H10+I11+J12+K13+L14+M15+N16+O17+P18</f>
        <v>3.0509259259259264E-2</v>
      </c>
      <c r="H18" s="7">
        <f>+H10+I11+J12+K13+L14+M15+N17+O17+P18</f>
        <v>3.3587962962962965E-2</v>
      </c>
      <c r="I18" s="7">
        <f>I11+J12+K13+L14+M15+N16+O17+P18</f>
        <v>2.6041666666666671E-2</v>
      </c>
      <c r="J18" s="7">
        <f>J12+K13+L14+M15+N16+O17+P18</f>
        <v>2.4016203703703706E-2</v>
      </c>
      <c r="K18" s="7">
        <f>K13+L14+M15+N16+O17+P18</f>
        <v>1.9861111111111114E-2</v>
      </c>
      <c r="L18" s="7">
        <f>L14+M15+N16+O17+P18</f>
        <v>1.6516203703703703E-2</v>
      </c>
      <c r="M18" s="7">
        <f>M15+N16+O17+P18</f>
        <v>1.2847222222222222E-2</v>
      </c>
      <c r="N18" s="7">
        <f>N16+O17+P18</f>
        <v>1.0821759259259258E-2</v>
      </c>
      <c r="O18" s="7">
        <f>O17+P18</f>
        <v>7.8125E-3</v>
      </c>
      <c r="P18" s="8">
        <v>2.8356481481481479E-3</v>
      </c>
      <c r="Q18" s="27"/>
      <c r="R18" s="28">
        <v>4.0624999999999993E-3</v>
      </c>
      <c r="S18" s="19">
        <f>R18+S19</f>
        <v>7.4884259259259253E-3</v>
      </c>
      <c r="T18" s="80">
        <v>3.4722222222222224E-4</v>
      </c>
      <c r="U18" s="92"/>
    </row>
    <row r="19" spans="1:22" ht="20.100000000000001" customHeight="1" x14ac:dyDescent="0.2">
      <c r="A19" s="70" t="s">
        <v>44</v>
      </c>
      <c r="B19" s="7">
        <f>B4+C5+D6+E7+F8+G9+H10+I11+J12+K13+L14+M15+N16+O17+P18+Q19</f>
        <v>4.5532407407407403E-2</v>
      </c>
      <c r="C19" s="7">
        <f>C5+D6+E7+F8+G9+H10+I11+J12+K13+L14+M15+N16+O17+P18+Q19</f>
        <v>4.3263888888888886E-2</v>
      </c>
      <c r="D19" s="7">
        <f>D6+E7+F8+G9+H10+I11+J12+K13+L14+M15+N16+O17+P18+Q19</f>
        <v>4.0115740740740743E-2</v>
      </c>
      <c r="E19" s="7">
        <f>E7+F8+G9+H10+I11+J12+K13+L14+M15+N16+O17+P18+Q19</f>
        <v>3.8124999999999999E-2</v>
      </c>
      <c r="F19" s="7">
        <f>F8+G9+H10+I11+J12+K13+L14+M15+N16+O17+P18+Q19</f>
        <v>3.6516203703703703E-2</v>
      </c>
      <c r="G19" s="7">
        <f>G9+H10+I11+J12+K13+L14+M15+N16+O17+P18+Q19</f>
        <v>3.4502314814814819E-2</v>
      </c>
      <c r="H19" s="7">
        <f>+H10+I11+J12+K13+L14+M15+N16+O17+P18+Q19</f>
        <v>3.260416666666667E-2</v>
      </c>
      <c r="I19" s="7">
        <f>I11+J12+K13+L14+M15+N16+O17+P18+Q19</f>
        <v>3.0034722222222227E-2</v>
      </c>
      <c r="J19" s="7">
        <f>J12+K13+L14+M15+N16+O17+P18+Q19</f>
        <v>2.8009259259259262E-2</v>
      </c>
      <c r="K19" s="7">
        <f>K13+L14+M15+N16+O17+P18+Q19</f>
        <v>2.3854166666666669E-2</v>
      </c>
      <c r="L19" s="7">
        <f>L14+M15+N16+O17+P18+Q19</f>
        <v>2.0509259259259258E-2</v>
      </c>
      <c r="M19" s="7">
        <f>M15+N16+O17+P18+Q19</f>
        <v>1.6840277777777777E-2</v>
      </c>
      <c r="N19" s="7">
        <f>N16+O17+P18+Q19</f>
        <v>1.4814814814814815E-2</v>
      </c>
      <c r="O19" s="7">
        <f>O17+P18+Q19</f>
        <v>1.1805555555555555E-2</v>
      </c>
      <c r="P19" s="7">
        <f>P18+Q19</f>
        <v>6.828703703703704E-3</v>
      </c>
      <c r="Q19" s="8">
        <v>3.9930555555555561E-3</v>
      </c>
      <c r="R19" s="27"/>
      <c r="S19" s="28">
        <v>3.425925925925926E-3</v>
      </c>
      <c r="T19" s="80">
        <v>3.4722222222222224E-4</v>
      </c>
    </row>
    <row r="20" spans="1:22" ht="20.100000000000001" customHeight="1" x14ac:dyDescent="0.2">
      <c r="A20" s="70" t="s">
        <v>45</v>
      </c>
      <c r="B20" s="7">
        <f>B4+C5+D6+E7+F8+G9+H10+I11+J12+K13+L14+M15+N16+O17+P18+Q19+R20</f>
        <v>4.95949074074074E-2</v>
      </c>
      <c r="C20" s="7">
        <f>C5+D6+E7+F8+G9+H10+I11+J12+K13+L14+M15+N16+O17+P18+Q19+R20</f>
        <v>4.7326388888888883E-2</v>
      </c>
      <c r="D20" s="7">
        <f>D6+E7+F8+G9+H10+I11+J12+K13+L14+M15+N16+O17+P18+Q19+R20</f>
        <v>4.417824074074074E-2</v>
      </c>
      <c r="E20" s="7">
        <f>E7+F8+G9+H10+I11+J12+K13+L14+M15+N16+O17+P18+Q19+R20</f>
        <v>4.2187499999999996E-2</v>
      </c>
      <c r="F20" s="7">
        <f>F8+G9+H10+I11+J12+K13+L14+M15+N16+O17+P18+Q19+R20</f>
        <v>4.05787037037037E-2</v>
      </c>
      <c r="G20" s="7">
        <f>G9+H10+I11+J12+K13+L14+M15+N16+O17+P18+Q19+R20</f>
        <v>3.8564814814814816E-2</v>
      </c>
      <c r="H20" s="7">
        <f>+H10+I11+J12+K13+L14+M15+N16+O17+P18+Q19+R20</f>
        <v>3.6666666666666667E-2</v>
      </c>
      <c r="I20" s="7">
        <f>I11+J12+K13+L14+M15+N16+O17+P18+Q19+R20</f>
        <v>3.4097222222222223E-2</v>
      </c>
      <c r="J20" s="7">
        <f>J12+K13+L14+M15+N16+O17+P18+Q19+R20</f>
        <v>3.2071759259259258E-2</v>
      </c>
      <c r="K20" s="7">
        <f>K13+L14+M15+N16+O17+P18+Q19+R20</f>
        <v>2.7916666666666669E-2</v>
      </c>
      <c r="L20" s="7">
        <f>L14+M15+N16+O17+P18+Q19+R20</f>
        <v>2.4571759259259258E-2</v>
      </c>
      <c r="M20" s="7">
        <f>M15+N16+O17+P18+Q19+R20</f>
        <v>2.0902777777777777E-2</v>
      </c>
      <c r="N20" s="7">
        <f>N16+O17+P18+Q19+R20</f>
        <v>1.8877314814814816E-2</v>
      </c>
      <c r="O20" s="7">
        <f>O17+P18+Q19+R20</f>
        <v>1.5868055555555555E-2</v>
      </c>
      <c r="P20" s="7">
        <f>P18+Q19+R20</f>
        <v>1.0891203703703703E-2</v>
      </c>
      <c r="Q20" s="7">
        <f>Q19+R20</f>
        <v>8.0555555555555554E-3</v>
      </c>
      <c r="R20" s="8">
        <v>4.0624999999999993E-3</v>
      </c>
      <c r="S20" s="27"/>
      <c r="T20" s="91"/>
    </row>
    <row r="21" spans="1:22" ht="20.100000000000001" customHeight="1" x14ac:dyDescent="0.2">
      <c r="B21" s="91" t="s">
        <v>117</v>
      </c>
      <c r="C21" s="80">
        <v>3.4722222222222224E-4</v>
      </c>
      <c r="D21" s="80">
        <v>3.4722222222222224E-4</v>
      </c>
      <c r="E21" s="80">
        <v>3.4722222222222224E-4</v>
      </c>
      <c r="F21" s="80">
        <v>3.4722222222222224E-4</v>
      </c>
      <c r="G21" s="80">
        <v>3.4722222222222224E-4</v>
      </c>
      <c r="H21" s="80">
        <v>3.4722222222222224E-4</v>
      </c>
      <c r="I21" s="80">
        <v>3.4722222222222224E-4</v>
      </c>
      <c r="J21" s="80">
        <v>3.4722222222222224E-4</v>
      </c>
      <c r="K21" s="80">
        <v>3.4722222222222224E-4</v>
      </c>
      <c r="L21" s="80">
        <v>3.4722222222222224E-4</v>
      </c>
      <c r="M21" s="80">
        <v>3.4722222222222224E-4</v>
      </c>
      <c r="N21" s="80">
        <v>3.4722222222222224E-4</v>
      </c>
      <c r="O21" s="80">
        <v>3.4722222222222224E-4</v>
      </c>
      <c r="P21" s="80">
        <v>3.4722222222222224E-4</v>
      </c>
      <c r="Q21" s="80">
        <v>3.4722222222222224E-4</v>
      </c>
      <c r="R21" s="80">
        <v>3.4722222222222224E-4</v>
      </c>
      <c r="S21" s="91"/>
      <c r="T21" s="91"/>
      <c r="U21" s="92"/>
      <c r="V21" s="92"/>
    </row>
    <row r="22" spans="1:22" ht="20.100000000000001" customHeight="1" x14ac:dyDescent="0.2">
      <c r="T22" s="91"/>
    </row>
    <row r="23" spans="1:22" ht="20.100000000000001" customHeight="1" x14ac:dyDescent="0.2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  <c r="P23" s="33"/>
      <c r="Q23" s="33"/>
      <c r="R23" s="33"/>
      <c r="T23" s="91"/>
    </row>
    <row r="24" spans="1:22" ht="20.100000000000001" customHeight="1" x14ac:dyDescent="0.2">
      <c r="F24" s="35"/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3"/>
      <c r="R24" s="33"/>
    </row>
    <row r="25" spans="1:22" ht="20.100000000000001" customHeight="1" x14ac:dyDescent="0.2">
      <c r="F25" s="37"/>
      <c r="G25" s="37"/>
      <c r="H25" s="36"/>
      <c r="I25" s="36"/>
      <c r="J25" s="36"/>
      <c r="K25" s="38"/>
      <c r="L25" s="38"/>
      <c r="M25" s="38"/>
      <c r="N25" s="38"/>
      <c r="O25" s="38"/>
      <c r="P25" s="38"/>
      <c r="Q25" s="39"/>
      <c r="R25" s="33"/>
    </row>
    <row r="26" spans="1:22" ht="20.100000000000001" customHeight="1" x14ac:dyDescent="0.2">
      <c r="E26" s="36"/>
      <c r="F26" s="36"/>
      <c r="G26" s="36"/>
      <c r="H26" s="36"/>
      <c r="I26" s="36"/>
      <c r="J26" s="36"/>
      <c r="K26" s="36"/>
      <c r="L26" s="40"/>
      <c r="M26" s="36"/>
      <c r="N26" s="41"/>
      <c r="O26" s="36"/>
      <c r="P26" s="42"/>
      <c r="Q26" s="33"/>
      <c r="R26" s="33"/>
    </row>
    <row r="27" spans="1:22" ht="20.100000000000001" customHeight="1" x14ac:dyDescent="0.2"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3"/>
      <c r="R27" s="33"/>
    </row>
    <row r="28" spans="1:22" ht="20.100000000000001" customHeight="1" x14ac:dyDescent="0.2">
      <c r="E28" s="36"/>
      <c r="F28" s="36"/>
      <c r="G28" s="43"/>
      <c r="H28" s="36"/>
      <c r="I28" s="36"/>
      <c r="J28" s="36"/>
      <c r="K28" s="36"/>
      <c r="L28" s="36"/>
      <c r="M28" s="36"/>
      <c r="N28" s="36"/>
      <c r="O28" s="36"/>
      <c r="P28" s="36"/>
      <c r="Q28" s="33"/>
      <c r="R28" s="33"/>
    </row>
    <row r="29" spans="1:22" ht="20.100000000000001" customHeight="1" x14ac:dyDescent="0.2"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</row>
  </sheetData>
  <sheetProtection selectLockedCells="1" selectUnlockedCells="1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17"/>
  <sheetViews>
    <sheetView windowProtection="1" workbookViewId="0">
      <selection activeCell="O3" sqref="O3"/>
    </sheetView>
  </sheetViews>
  <sheetFormatPr defaultRowHeight="20.100000000000001" customHeight="1" x14ac:dyDescent="0.2"/>
  <cols>
    <col min="1" max="1" width="13" style="2" customWidth="1"/>
    <col min="2" max="2" width="11" style="32" customWidth="1"/>
    <col min="3" max="14" width="8.7109375" style="32" customWidth="1"/>
    <col min="15" max="15" width="10.7109375" style="32" bestFit="1" customWidth="1"/>
    <col min="16" max="16384" width="9.140625" style="2"/>
  </cols>
  <sheetData>
    <row r="1" spans="1:15" ht="39.950000000000003" customHeight="1" x14ac:dyDescent="0.2">
      <c r="A1" s="30">
        <v>1.3888888888888889E-3</v>
      </c>
      <c r="B1" s="71" t="s">
        <v>28</v>
      </c>
      <c r="C1" s="71"/>
      <c r="D1" s="71"/>
      <c r="E1" s="71"/>
      <c r="F1" s="71"/>
      <c r="G1" s="71"/>
      <c r="H1" s="71"/>
      <c r="I1" s="71"/>
      <c r="J1" s="65" t="s">
        <v>108</v>
      </c>
      <c r="K1" s="67"/>
      <c r="L1" s="71"/>
      <c r="M1" s="67" t="s">
        <v>109</v>
      </c>
      <c r="N1" s="71"/>
      <c r="O1" s="63"/>
    </row>
    <row r="2" spans="1:15" ht="20.100000000000001" customHeight="1" x14ac:dyDescent="0.2">
      <c r="A2" s="68" t="s">
        <v>0</v>
      </c>
      <c r="B2" s="68" t="s">
        <v>46</v>
      </c>
      <c r="C2" s="68" t="s">
        <v>47</v>
      </c>
      <c r="D2" s="68" t="s">
        <v>48</v>
      </c>
      <c r="E2" s="68" t="s">
        <v>49</v>
      </c>
      <c r="F2" s="68" t="s">
        <v>50</v>
      </c>
      <c r="G2" s="68" t="s">
        <v>51</v>
      </c>
      <c r="H2" s="68" t="s">
        <v>52</v>
      </c>
      <c r="I2" s="68" t="s">
        <v>53</v>
      </c>
      <c r="J2" s="68" t="s">
        <v>54</v>
      </c>
      <c r="K2" s="68" t="s">
        <v>55</v>
      </c>
      <c r="L2" s="68" t="s">
        <v>56</v>
      </c>
      <c r="M2" s="68" t="s">
        <v>57</v>
      </c>
      <c r="N2" s="68" t="s">
        <v>58</v>
      </c>
      <c r="O2" s="31"/>
    </row>
    <row r="3" spans="1:15" ht="20.100000000000001" customHeight="1" x14ac:dyDescent="0.2">
      <c r="A3" s="68" t="str">
        <f>B2</f>
        <v>BAS</v>
      </c>
      <c r="B3" s="4"/>
      <c r="C3" s="24">
        <v>2.0949074074074073E-3</v>
      </c>
      <c r="D3" s="5">
        <f>C3+D4</f>
        <v>4.7337962962962958E-3</v>
      </c>
      <c r="E3" s="5">
        <f>C3+D4+E5</f>
        <v>6.5972222222222222E-3</v>
      </c>
      <c r="F3" s="5">
        <f>C3+D4+E5+F6</f>
        <v>9.0393518518518522E-3</v>
      </c>
      <c r="G3" s="5">
        <f>C3+D4+E5+F6+G7</f>
        <v>1.1909722222222223E-2</v>
      </c>
      <c r="H3" s="5">
        <f>C3+D4+E5+F6+G7+H8</f>
        <v>1.3703703703703704E-2</v>
      </c>
      <c r="I3" s="5">
        <f>C3+D4+E5+F6+G7+H8+I9</f>
        <v>1.6122685185185184E-2</v>
      </c>
      <c r="J3" s="5">
        <f>C3+D4+E5+F6+G7+H8+I9+J10</f>
        <v>2.0196759259259258E-2</v>
      </c>
      <c r="K3" s="5">
        <f>C3+D4+E5+F6+G7+H8+I9+J10+K11</f>
        <v>2.2974537037037036E-2</v>
      </c>
      <c r="L3" s="5">
        <f>C3+D4+E5+F6+G7+H8+I9+J10+K11+L12</f>
        <v>2.6076388888888889E-2</v>
      </c>
      <c r="M3" s="5">
        <f>C3+D4+E5+F6+G7+H8+I9+J10+K11+L12+M13</f>
        <v>2.9479166666666667E-2</v>
      </c>
      <c r="N3" s="5">
        <f>C3+D4+E5+F6+G7+H8+I9+J10+K11+L12+M13+N14</f>
        <v>3.2847222222222222E-2</v>
      </c>
      <c r="O3" s="91" t="s">
        <v>117</v>
      </c>
    </row>
    <row r="4" spans="1:15" ht="20.100000000000001" customHeight="1" x14ac:dyDescent="0.2">
      <c r="A4" s="68" t="str">
        <f>C2</f>
        <v>MOC</v>
      </c>
      <c r="B4" s="9">
        <v>1.9328703703703704E-3</v>
      </c>
      <c r="C4" s="4"/>
      <c r="D4" s="24">
        <v>2.6388888888888885E-3</v>
      </c>
      <c r="E4" s="5">
        <f>D4+E5</f>
        <v>4.5023148148148149E-3</v>
      </c>
      <c r="F4" s="5">
        <f>D4+E5+F6</f>
        <v>6.9444444444444441E-3</v>
      </c>
      <c r="G4" s="5">
        <f>D4+E5+F6+G7</f>
        <v>9.8148148148148144E-3</v>
      </c>
      <c r="H4" s="5">
        <f>D4+E5+F6+G7+H8</f>
        <v>1.1608796296296296E-2</v>
      </c>
      <c r="I4" s="5">
        <f>D4+E5+F6+G7+H8+I9</f>
        <v>1.4027777777777778E-2</v>
      </c>
      <c r="J4" s="5">
        <f>D4+E5+F6+G7+H8+I9+J10</f>
        <v>1.8101851851851852E-2</v>
      </c>
      <c r="K4" s="5">
        <f>D4+E5+F6+G7+H8+I9+J10+K11</f>
        <v>2.087962962962963E-2</v>
      </c>
      <c r="L4" s="5">
        <f>D4+E5+F6+G7+H8+I9+J10+K11+L12</f>
        <v>2.3981481481481482E-2</v>
      </c>
      <c r="M4" s="5">
        <f>D4+E5+F6+G7+H8+I9+J10+K11+L12+M13</f>
        <v>2.7384259259259261E-2</v>
      </c>
      <c r="N4" s="5">
        <f>D4+E5+F6+G7+H8+I9+J10+K11+L12+M13+N14</f>
        <v>3.0752314814814816E-2</v>
      </c>
      <c r="O4" s="80">
        <v>3.4722222222222224E-4</v>
      </c>
    </row>
    <row r="5" spans="1:15" ht="20.100000000000001" customHeight="1" x14ac:dyDescent="0.2">
      <c r="A5" s="68" t="str">
        <f>D2</f>
        <v>IPG</v>
      </c>
      <c r="B5" s="7">
        <f>B4+C5</f>
        <v>4.5949074074074078E-3</v>
      </c>
      <c r="C5" s="9">
        <v>2.6620370370370374E-3</v>
      </c>
      <c r="D5" s="4"/>
      <c r="E5" s="24">
        <v>1.8634259259259261E-3</v>
      </c>
      <c r="F5" s="5">
        <f>E5+F6</f>
        <v>4.3055555555555555E-3</v>
      </c>
      <c r="G5" s="5">
        <f>E5+F6+G7</f>
        <v>7.1759259259259259E-3</v>
      </c>
      <c r="H5" s="5">
        <f>E5+F6+G7+H8</f>
        <v>8.9699074074074073E-3</v>
      </c>
      <c r="I5" s="5">
        <f>E5+F6+G7+H8+I9</f>
        <v>1.1388888888888889E-2</v>
      </c>
      <c r="J5" s="5">
        <f>E5+F6+G7+H8+I9+J10</f>
        <v>1.5462962962962963E-2</v>
      </c>
      <c r="K5" s="5">
        <f>E5+F6+G7+H8+I9+J10+K11</f>
        <v>1.8240740740740741E-2</v>
      </c>
      <c r="L5" s="5">
        <f>E5+F6+G7+H8+I9+J10+K11+L12</f>
        <v>2.1342592592592594E-2</v>
      </c>
      <c r="M5" s="5">
        <f>E5+F6+G7+H8+I9+J10+K11+L12+M13</f>
        <v>2.4745370370370372E-2</v>
      </c>
      <c r="N5" s="5">
        <f>E5+F6+G7+H8+I9+J10+K11+L12+M13+N14</f>
        <v>2.8113425925925927E-2</v>
      </c>
      <c r="O5" s="80">
        <v>3.4722222222222224E-4</v>
      </c>
    </row>
    <row r="6" spans="1:15" ht="20.100000000000001" customHeight="1" x14ac:dyDescent="0.2">
      <c r="A6" s="68" t="str">
        <f>E2</f>
        <v>TMD</v>
      </c>
      <c r="B6" s="7">
        <f>B4+C5+D6</f>
        <v>6.4583333333333342E-3</v>
      </c>
      <c r="C6" s="7">
        <f>C5+D6</f>
        <v>4.5254629629629638E-3</v>
      </c>
      <c r="D6" s="9">
        <v>1.8634259259259261E-3</v>
      </c>
      <c r="E6" s="4"/>
      <c r="F6" s="24">
        <v>2.4421296296296296E-3</v>
      </c>
      <c r="G6" s="5">
        <f>F6+G7</f>
        <v>5.3125000000000004E-3</v>
      </c>
      <c r="H6" s="5">
        <f>F6+G7+H8</f>
        <v>7.1064814814814819E-3</v>
      </c>
      <c r="I6" s="5">
        <f>F6+G7+H8+I9</f>
        <v>9.525462962962963E-3</v>
      </c>
      <c r="J6" s="5">
        <f>F6+G7+H8+I9+J10</f>
        <v>1.3599537037037038E-2</v>
      </c>
      <c r="K6" s="5">
        <f>F6+G7+H8+I9+J10+K11</f>
        <v>1.6377314814814817E-2</v>
      </c>
      <c r="L6" s="5">
        <f>F6+G7+H8+I9+J10+K11+L12</f>
        <v>1.9479166666666669E-2</v>
      </c>
      <c r="M6" s="5">
        <f>F6+G7+H8+I9+J10+K11+L12+M13</f>
        <v>2.2881944444444448E-2</v>
      </c>
      <c r="N6" s="5">
        <f>F6+G7+H8+I9+J10+K11+L12+M13+N14</f>
        <v>2.6250000000000002E-2</v>
      </c>
      <c r="O6" s="80">
        <v>3.4722222222222224E-4</v>
      </c>
    </row>
    <row r="7" spans="1:15" ht="20.100000000000001" customHeight="1" x14ac:dyDescent="0.2">
      <c r="A7" s="68" t="str">
        <f>F2</f>
        <v>SCT</v>
      </c>
      <c r="B7" s="7">
        <f>B4+C5+D6+E7</f>
        <v>8.9120370370370378E-3</v>
      </c>
      <c r="C7" s="7">
        <f>C5+D6+E7</f>
        <v>6.9791666666666674E-3</v>
      </c>
      <c r="D7" s="7">
        <f>D6+E7</f>
        <v>4.31712962962963E-3</v>
      </c>
      <c r="E7" s="9">
        <v>2.4537037037037036E-3</v>
      </c>
      <c r="F7" s="4"/>
      <c r="G7" s="24">
        <v>2.8703703703703708E-3</v>
      </c>
      <c r="H7" s="5">
        <f>G7+H8</f>
        <v>4.6643518518518518E-3</v>
      </c>
      <c r="I7" s="5">
        <f>G7+H8+I9</f>
        <v>7.0833333333333338E-3</v>
      </c>
      <c r="J7" s="5">
        <f>G7+H8+I9+J10</f>
        <v>1.1157407407407408E-2</v>
      </c>
      <c r="K7" s="5">
        <f>G7+H8+I9+J10+K11</f>
        <v>1.3935185185185186E-2</v>
      </c>
      <c r="L7" s="5">
        <f>G7+H8+I9+J10+K11+L12</f>
        <v>1.7037037037037038E-2</v>
      </c>
      <c r="M7" s="5">
        <f>G7+H8+I9+J10+K11+L12+M13</f>
        <v>2.0439814814814817E-2</v>
      </c>
      <c r="N7" s="5">
        <f>G7+H8+I9+J10+K11+L12+M13+N14</f>
        <v>2.3807870370370372E-2</v>
      </c>
      <c r="O7" s="80">
        <v>3.4722222222222224E-4</v>
      </c>
    </row>
    <row r="8" spans="1:15" ht="20.100000000000001" customHeight="1" x14ac:dyDescent="0.2">
      <c r="A8" s="68" t="str">
        <f>G2</f>
        <v>UTG</v>
      </c>
      <c r="B8" s="7">
        <f>B4+C5+D6+E7+F8</f>
        <v>1.2222222222222223E-2</v>
      </c>
      <c r="C8" s="7">
        <f>C5+D6+E7+F8</f>
        <v>1.0289351851851852E-2</v>
      </c>
      <c r="D8" s="7">
        <f>D6+E7+F8</f>
        <v>7.6273148148148151E-3</v>
      </c>
      <c r="E8" s="7">
        <f>E7+F8</f>
        <v>5.7638888888888887E-3</v>
      </c>
      <c r="F8" s="9">
        <v>3.3101851851851851E-3</v>
      </c>
      <c r="G8" s="4"/>
      <c r="H8" s="24">
        <v>1.7939814814814815E-3</v>
      </c>
      <c r="I8" s="5">
        <f>H8+I9</f>
        <v>4.2129629629629635E-3</v>
      </c>
      <c r="J8" s="5">
        <f>H8+I9+J10</f>
        <v>8.2870370370370372E-3</v>
      </c>
      <c r="K8" s="5">
        <f>H8+I9+J10+K11</f>
        <v>1.1064814814814816E-2</v>
      </c>
      <c r="L8" s="5">
        <f>H8+I9+J10+K11+L12</f>
        <v>1.4166666666666668E-2</v>
      </c>
      <c r="M8" s="5">
        <f>H8+I9+J10+K11+L12+M13</f>
        <v>1.7569444444444447E-2</v>
      </c>
      <c r="N8" s="5">
        <f>H8+I9+J10+K11+L12+M13+N14</f>
        <v>2.0937500000000001E-2</v>
      </c>
      <c r="O8" s="80">
        <v>3.4722222222222224E-4</v>
      </c>
    </row>
    <row r="9" spans="1:15" ht="20.100000000000001" customHeight="1" x14ac:dyDescent="0.2">
      <c r="A9" s="68" t="str">
        <f>H2</f>
        <v>PSA</v>
      </c>
      <c r="B9" s="7">
        <f>B4+C5+D6+E7+F8+G9</f>
        <v>1.4027777777777778E-2</v>
      </c>
      <c r="C9" s="7">
        <f>C5+D6+E7+F8+G9</f>
        <v>1.2094907407407407E-2</v>
      </c>
      <c r="D9" s="7">
        <f>D6+E7+F8+G9</f>
        <v>9.432870370370371E-3</v>
      </c>
      <c r="E9" s="7">
        <f>E7+F8+G9</f>
        <v>7.5694444444444446E-3</v>
      </c>
      <c r="F9" s="7">
        <f>F8+G9</f>
        <v>5.115740740740741E-3</v>
      </c>
      <c r="G9" s="9">
        <v>1.8055555555555557E-3</v>
      </c>
      <c r="H9" s="4"/>
      <c r="I9" s="24">
        <v>2.4189814814814816E-3</v>
      </c>
      <c r="J9" s="5">
        <f>I9+J10</f>
        <v>6.4930555555555557E-3</v>
      </c>
      <c r="K9" s="5">
        <f>I9+J10+K11</f>
        <v>9.2708333333333341E-3</v>
      </c>
      <c r="L9" s="5">
        <f>I9+J10+K11+L12</f>
        <v>1.2372685185185186E-2</v>
      </c>
      <c r="M9" s="5">
        <f>I9+J10+K11+L12+M13</f>
        <v>1.5775462962962963E-2</v>
      </c>
      <c r="N9" s="5">
        <f>I9+J10+K11+L12+M13+N14</f>
        <v>1.9143518518518518E-2</v>
      </c>
      <c r="O9" s="80">
        <v>3.4722222222222224E-4</v>
      </c>
    </row>
    <row r="10" spans="1:15" ht="20.100000000000001" customHeight="1" x14ac:dyDescent="0.2">
      <c r="A10" s="68" t="str">
        <f>I2</f>
        <v>SAN</v>
      </c>
      <c r="B10" s="7">
        <f>B4+C5+D6+E7+F8+G9+H10</f>
        <v>1.6585648148148148E-2</v>
      </c>
      <c r="C10" s="7">
        <f>C5+D6+E7+F8+G9+H10</f>
        <v>1.4652777777777777E-2</v>
      </c>
      <c r="D10" s="7">
        <f>+D6+E7+F8+G9+H10</f>
        <v>1.1990740740740741E-2</v>
      </c>
      <c r="E10" s="7">
        <f>E7+F8+G9+H10</f>
        <v>1.0127314814814815E-2</v>
      </c>
      <c r="F10" s="7">
        <f>F8+G9+H10</f>
        <v>7.673611111111112E-3</v>
      </c>
      <c r="G10" s="7">
        <f>G9+H10</f>
        <v>4.363425925925926E-3</v>
      </c>
      <c r="H10" s="9">
        <v>2.5578703703703705E-3</v>
      </c>
      <c r="I10" s="4"/>
      <c r="J10" s="45">
        <v>4.0740740740740746E-3</v>
      </c>
      <c r="K10" s="5">
        <f>J10+K11</f>
        <v>6.851851851851852E-3</v>
      </c>
      <c r="L10" s="5">
        <f>J10+K11+L12</f>
        <v>9.9537037037037042E-3</v>
      </c>
      <c r="M10" s="5">
        <f>J10+K11+L12+M13</f>
        <v>1.3356481481481483E-2</v>
      </c>
      <c r="N10" s="5">
        <f>J10+K11+L12+M13+N14</f>
        <v>1.6724537037037038E-2</v>
      </c>
      <c r="O10" s="80">
        <v>3.4722222222222224E-4</v>
      </c>
    </row>
    <row r="11" spans="1:15" ht="20.100000000000001" customHeight="1" x14ac:dyDescent="0.2">
      <c r="A11" s="68" t="str">
        <f>J2</f>
        <v>CPV</v>
      </c>
      <c r="B11" s="7">
        <f>B4+C5+D6+E7+F8+G9+H10+I11</f>
        <v>2.074074074074074E-2</v>
      </c>
      <c r="C11" s="7">
        <f>C5+D6+E7+F8+G9+H10+I11</f>
        <v>1.8807870370370371E-2</v>
      </c>
      <c r="D11" s="7">
        <f>D6+E7+F8+G9+H10+I11</f>
        <v>1.6145833333333335E-2</v>
      </c>
      <c r="E11" s="7">
        <f>E7+F8+G9+H10+I11</f>
        <v>1.4282407407407407E-2</v>
      </c>
      <c r="F11" s="7">
        <f>F8+G9+H10+I11</f>
        <v>1.1828703703703706E-2</v>
      </c>
      <c r="G11" s="7">
        <f>G9+H10+I11</f>
        <v>8.518518518518519E-3</v>
      </c>
      <c r="H11" s="7">
        <f>H10+I11</f>
        <v>6.712962962962964E-3</v>
      </c>
      <c r="I11" s="9">
        <v>4.155092592592593E-3</v>
      </c>
      <c r="J11" s="4"/>
      <c r="K11" s="24">
        <v>2.7777777777777779E-3</v>
      </c>
      <c r="L11" s="5">
        <f>K11+L12</f>
        <v>5.8796296296296305E-3</v>
      </c>
      <c r="M11" s="5">
        <f>K11+L12+M13</f>
        <v>9.2824074074074094E-3</v>
      </c>
      <c r="N11" s="5">
        <f>K11+L12+M13+N14</f>
        <v>1.2650462962962964E-2</v>
      </c>
      <c r="O11" s="80">
        <v>3.4722222222222224E-4</v>
      </c>
    </row>
    <row r="12" spans="1:15" ht="20.100000000000001" customHeight="1" x14ac:dyDescent="0.2">
      <c r="A12" s="68" t="str">
        <f>K2</f>
        <v>MAU</v>
      </c>
      <c r="B12" s="7">
        <f>B4+C5+D6+E7+F8+G9+H10+I11+J12</f>
        <v>2.3564814814814813E-2</v>
      </c>
      <c r="C12" s="7">
        <f>C5+D6+E7+F8+G9+H10+I11+J12</f>
        <v>2.1631944444444443E-2</v>
      </c>
      <c r="D12" s="7">
        <f>D6+E7+F8+G9+H10+I11+J12</f>
        <v>1.8969907407407408E-2</v>
      </c>
      <c r="E12" s="7">
        <f>E7+F8+G9+H10+I11+J12</f>
        <v>1.7106481481481479E-2</v>
      </c>
      <c r="F12" s="7">
        <f>+F8+G9+H10+I11+J12</f>
        <v>1.465277777777778E-2</v>
      </c>
      <c r="G12" s="7">
        <f>G9+H10+I11+J12</f>
        <v>1.1342592592592593E-2</v>
      </c>
      <c r="H12" s="7">
        <f>H10+I11+J12</f>
        <v>9.5370370370370383E-3</v>
      </c>
      <c r="I12" s="7">
        <f>I11+J12</f>
        <v>6.9791666666666665E-3</v>
      </c>
      <c r="J12" s="9">
        <v>2.8240740740740739E-3</v>
      </c>
      <c r="K12" s="4"/>
      <c r="L12" s="24">
        <v>3.1018518518518522E-3</v>
      </c>
      <c r="M12" s="5">
        <f>L12+M13</f>
        <v>6.504629629629631E-3</v>
      </c>
      <c r="N12" s="5">
        <f>L12+M13+N14</f>
        <v>9.8726851851851857E-3</v>
      </c>
      <c r="O12" s="80">
        <v>3.4722222222222224E-4</v>
      </c>
    </row>
    <row r="13" spans="1:15" ht="20.100000000000001" customHeight="1" x14ac:dyDescent="0.2">
      <c r="A13" s="68" t="str">
        <f>L2</f>
        <v>GPT</v>
      </c>
      <c r="B13" s="7">
        <f>B4+C5+D6+E7+F8+G9+H10+I11+J12+K13</f>
        <v>2.6319444444444444E-2</v>
      </c>
      <c r="C13" s="7">
        <f>C5+D6+E7+F8+G9+H10+I11+J12+K13</f>
        <v>2.4386574074074074E-2</v>
      </c>
      <c r="D13" s="7">
        <f>D6+E7+F8+G9+H10+I11+J12+K13</f>
        <v>2.1724537037037035E-2</v>
      </c>
      <c r="E13" s="7">
        <f>E7+F8+G9+H10+I11+J12+K13</f>
        <v>1.9861111111111107E-2</v>
      </c>
      <c r="F13" s="7">
        <f>F8+G9+H10+I11+J12+K13</f>
        <v>1.740740740740741E-2</v>
      </c>
      <c r="G13" s="7">
        <f>G9+H10+I11+J12+K13</f>
        <v>1.4097222222222223E-2</v>
      </c>
      <c r="H13" s="7">
        <f>H10+I11+J12+K13</f>
        <v>1.2291666666666668E-2</v>
      </c>
      <c r="I13" s="7">
        <f>I11+J12+K13</f>
        <v>9.7337962962962959E-3</v>
      </c>
      <c r="J13" s="7">
        <f>J12+K13</f>
        <v>5.5787037037037038E-3</v>
      </c>
      <c r="K13" s="9">
        <v>2.7546296296296294E-3</v>
      </c>
      <c r="L13" s="4"/>
      <c r="M13" s="24">
        <v>3.4027777777777784E-3</v>
      </c>
      <c r="N13" s="5">
        <f>M13+N14</f>
        <v>6.7708333333333336E-3</v>
      </c>
      <c r="O13" s="80">
        <v>3.4722222222222224E-4</v>
      </c>
    </row>
    <row r="14" spans="1:15" ht="20.100000000000001" customHeight="1" x14ac:dyDescent="0.2">
      <c r="A14" s="68" t="str">
        <f>M2</f>
        <v>RPI</v>
      </c>
      <c r="B14" s="7">
        <f>B4+C5+D6+E7+F8+G9+H10+I11+J12+K13+L14</f>
        <v>3.0775462962962963E-2</v>
      </c>
      <c r="C14" s="7">
        <f>C5+D6+E7+F8+G9+H10+I11+J12+K13+L14</f>
        <v>2.8842592592592593E-2</v>
      </c>
      <c r="D14" s="7">
        <f>D6+E7+F8+G9+H10+I11+J12+K13+L14</f>
        <v>2.6180555555555554E-2</v>
      </c>
      <c r="E14" s="7">
        <f>E7+F8+G9+H10+I11+J12+K13+L14</f>
        <v>2.4317129629629626E-2</v>
      </c>
      <c r="F14" s="7">
        <f>F8+G9+H10+I11+J12+K13+L14</f>
        <v>2.1863425925925929E-2</v>
      </c>
      <c r="G14" s="7">
        <f>+G9+H10+I11+J12+K13+L14</f>
        <v>1.8553240740740742E-2</v>
      </c>
      <c r="H14" s="7">
        <f>H10+I11+J12+K13+L14</f>
        <v>1.6747685185185185E-2</v>
      </c>
      <c r="I14" s="7">
        <f>I11+J12+K13+L14</f>
        <v>1.4189814814814815E-2</v>
      </c>
      <c r="J14" s="7">
        <f>J12+K13+L14</f>
        <v>1.0034722222222223E-2</v>
      </c>
      <c r="K14" s="7">
        <f>+K13+L14</f>
        <v>7.2106481481481483E-3</v>
      </c>
      <c r="L14" s="9">
        <v>4.4560185185185189E-3</v>
      </c>
      <c r="M14" s="4"/>
      <c r="N14" s="24">
        <v>3.3680555555555551E-3</v>
      </c>
      <c r="O14" s="80">
        <v>3.4722222222222224E-4</v>
      </c>
    </row>
    <row r="15" spans="1:15" ht="20.100000000000001" customHeight="1" x14ac:dyDescent="0.2">
      <c r="A15" s="68" t="str">
        <f>N2</f>
        <v>RGS</v>
      </c>
      <c r="B15" s="7">
        <f>B4+C5+D6+E7+F8+G9+H10+I11+J12+K13+L14+M15</f>
        <v>3.4155092592592591E-2</v>
      </c>
      <c r="C15" s="7">
        <f>C5+D6+E7+F8+G9+H10+I11+J12+K13+L14+M15</f>
        <v>3.2222222222222222E-2</v>
      </c>
      <c r="D15" s="7">
        <f>D6+E7+F8+G9+H10+I11+J12+K13+L14+M15</f>
        <v>2.9560185185185182E-2</v>
      </c>
      <c r="E15" s="7">
        <f>E7+F8+G9+H10+I11+J12+K13+L14+M15</f>
        <v>2.7696759259259254E-2</v>
      </c>
      <c r="F15" s="7">
        <f>F8+G9+H10+I11+J12+K13+L14+M15</f>
        <v>2.524305555555556E-2</v>
      </c>
      <c r="G15" s="7">
        <f>G9+H10+I11+J12+K13+L14+M15</f>
        <v>2.1932870370370373E-2</v>
      </c>
      <c r="H15" s="7">
        <f>H10+I11+J12+K13+L14+M15</f>
        <v>2.0127314814814813E-2</v>
      </c>
      <c r="I15" s="7">
        <f>I11+J12+K13+L14+M15</f>
        <v>1.7569444444444443E-2</v>
      </c>
      <c r="J15" s="7">
        <f>J12+K13+L14+M15</f>
        <v>1.3414351851851853E-2</v>
      </c>
      <c r="K15" s="7">
        <f>K13+L14+M15</f>
        <v>1.0590277777777778E-2</v>
      </c>
      <c r="L15" s="7">
        <f>K13+L14</f>
        <v>7.2106481481481483E-3</v>
      </c>
      <c r="M15" s="9">
        <v>3.37962962962963E-3</v>
      </c>
      <c r="N15" s="4"/>
    </row>
    <row r="16" spans="1:15" ht="20.100000000000001" customHeight="1" x14ac:dyDescent="0.2">
      <c r="A16" s="1"/>
      <c r="B16" s="91" t="s">
        <v>117</v>
      </c>
      <c r="C16" s="80">
        <v>3.4722222222222224E-4</v>
      </c>
      <c r="D16" s="80">
        <v>3.4722222222222224E-4</v>
      </c>
      <c r="E16" s="80">
        <v>3.4722222222222224E-4</v>
      </c>
      <c r="F16" s="80">
        <v>3.4722222222222224E-4</v>
      </c>
      <c r="G16" s="80">
        <v>3.4722222222222224E-4</v>
      </c>
      <c r="H16" s="80">
        <v>3.4722222222222224E-4</v>
      </c>
      <c r="I16" s="80">
        <v>3.4722222222222224E-4</v>
      </c>
      <c r="J16" s="80">
        <v>3.4722222222222224E-4</v>
      </c>
      <c r="K16" s="80">
        <v>3.4722222222222224E-4</v>
      </c>
      <c r="L16" s="80">
        <v>3.4722222222222224E-4</v>
      </c>
      <c r="M16" s="80">
        <v>3.4722222222222224E-4</v>
      </c>
    </row>
    <row r="17" spans="1:1" ht="20.100000000000001" customHeight="1" x14ac:dyDescent="0.2">
      <c r="A17" s="1"/>
    </row>
  </sheetData>
  <sheetProtection selectLockedCells="1" selectUnlockedCells="1"/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20"/>
  <sheetViews>
    <sheetView windowProtection="1" topLeftCell="A4" workbookViewId="0">
      <selection activeCell="S3" sqref="S3"/>
    </sheetView>
  </sheetViews>
  <sheetFormatPr defaultRowHeight="20.100000000000001" customHeight="1" x14ac:dyDescent="0.2"/>
  <cols>
    <col min="1" max="1" width="13" style="2" customWidth="1"/>
    <col min="2" max="2" width="10.42578125" style="32" customWidth="1"/>
    <col min="3" max="15" width="8.7109375" style="32" customWidth="1"/>
    <col min="16" max="18" width="9.140625" style="32"/>
    <col min="19" max="19" width="10.7109375" style="32" bestFit="1" customWidth="1"/>
    <col min="20" max="16384" width="9.140625" style="2"/>
  </cols>
  <sheetData>
    <row r="1" spans="1:20" ht="39.950000000000003" customHeight="1" x14ac:dyDescent="0.2">
      <c r="A1" s="30">
        <v>1.3888888888888889E-3</v>
      </c>
      <c r="B1" s="71" t="s">
        <v>69</v>
      </c>
      <c r="C1" s="71"/>
      <c r="D1" s="71"/>
      <c r="E1" s="71"/>
      <c r="F1" s="71"/>
      <c r="G1" s="71"/>
      <c r="H1" s="71"/>
      <c r="I1" s="71"/>
      <c r="J1" s="65" t="s">
        <v>104</v>
      </c>
      <c r="K1" s="67"/>
      <c r="L1" s="71"/>
      <c r="M1" s="67" t="s">
        <v>105</v>
      </c>
      <c r="N1" s="71"/>
      <c r="O1" s="71"/>
      <c r="P1" s="71"/>
      <c r="Q1" s="71"/>
      <c r="R1" s="71"/>
    </row>
    <row r="2" spans="1:20" ht="20.100000000000001" customHeight="1" x14ac:dyDescent="0.2">
      <c r="A2" s="68" t="s">
        <v>0</v>
      </c>
      <c r="B2" s="68" t="s">
        <v>2</v>
      </c>
      <c r="C2" s="68" t="s">
        <v>30</v>
      </c>
      <c r="D2" s="68" t="s">
        <v>46</v>
      </c>
      <c r="E2" s="68" t="s">
        <v>59</v>
      </c>
      <c r="F2" s="68" t="s">
        <v>60</v>
      </c>
      <c r="G2" s="68" t="s">
        <v>61</v>
      </c>
      <c r="H2" s="68" t="s">
        <v>62</v>
      </c>
      <c r="I2" s="68" t="s">
        <v>63</v>
      </c>
      <c r="J2" s="68" t="s">
        <v>64</v>
      </c>
      <c r="K2" s="68" t="s">
        <v>65</v>
      </c>
      <c r="L2" s="68" t="s">
        <v>66</v>
      </c>
      <c r="M2" s="68" t="s">
        <v>67</v>
      </c>
      <c r="N2" s="68" t="s">
        <v>68</v>
      </c>
      <c r="O2" s="68" t="s">
        <v>70</v>
      </c>
      <c r="P2" s="68" t="s">
        <v>71</v>
      </c>
      <c r="Q2" s="68" t="s">
        <v>72</v>
      </c>
      <c r="R2" s="68" t="s">
        <v>73</v>
      </c>
    </row>
    <row r="3" spans="1:20" ht="20.100000000000001" customHeight="1" x14ac:dyDescent="0.2">
      <c r="A3" s="68" t="s">
        <v>2</v>
      </c>
      <c r="B3" s="46"/>
      <c r="C3" s="47">
        <v>2.8587962962962963E-3</v>
      </c>
      <c r="D3" s="48">
        <f>C3+D4</f>
        <v>4.9768518518518521E-3</v>
      </c>
      <c r="E3" s="49">
        <f>C3+D4+E5</f>
        <v>7.7083333333333344E-3</v>
      </c>
      <c r="F3" s="49">
        <f>SUM(C3,D4,E5,F6)</f>
        <v>1.5347222222222224E-2</v>
      </c>
      <c r="G3" s="49">
        <f>SUM(C3,D4,E5,F6,G7)</f>
        <v>1.7175925925925928E-2</v>
      </c>
      <c r="H3" s="49">
        <f>SUM(C3,D4,E5,F6,G7,H8)</f>
        <v>1.8506944444444447E-2</v>
      </c>
      <c r="I3" s="49">
        <f>SUM(C3,D4,E5,F6,G7,H8,I9)</f>
        <v>2.027777777777778E-2</v>
      </c>
      <c r="J3" s="49">
        <f>SUM(C3,D4,E5,F6,G7,H8,I9,J10)</f>
        <v>2.2361111111111113E-2</v>
      </c>
      <c r="K3" s="49">
        <f>SUM(C3,D4,E5,F6,G7,H8,I9,J10,K11)</f>
        <v>2.5613425925925928E-2</v>
      </c>
      <c r="L3" s="49">
        <f>SUM(C3,D4,E5,F6,G7,H8,I9,J10,K11,L12)</f>
        <v>2.8252314814814817E-2</v>
      </c>
      <c r="M3" s="49">
        <f>SUM(C3,D4,E5,F6,G7,H8,I9,J10,K11,L12,M13)</f>
        <v>2.9837962962962965E-2</v>
      </c>
      <c r="N3" s="49">
        <f>SUM(C3,D4,E5,F6,G7,H8,I9,J10,K11,L12,M13,N14)</f>
        <v>3.2268518518518523E-2</v>
      </c>
      <c r="O3" s="49">
        <f>SUM(C3,D4,E5,F6,G7,H8,I9,J10,K11,L12,M13,N14,O15)</f>
        <v>3.6273148148148152E-2</v>
      </c>
      <c r="P3" s="49">
        <f>SUM(C3,D4,E5,F6,G7,H8,I9,J10,K11,L12,M13,N14,O15,P16)</f>
        <v>3.9224537037037044E-2</v>
      </c>
      <c r="Q3" s="49">
        <f>SUM(C3,D4,E5,F6,G7,H8,I9,J10,K11,L12,M13,N14,O15,P16,Q17)</f>
        <v>4.2534722222222231E-2</v>
      </c>
      <c r="R3" s="48">
        <f>SUM(C3,D4,E5,F6,G7,H8,I9,J10,K11,L12,M13,N14,O15,P16,Q17,R18)</f>
        <v>4.4050925925925938E-2</v>
      </c>
      <c r="S3" s="91" t="s">
        <v>117</v>
      </c>
    </row>
    <row r="4" spans="1:20" ht="20.100000000000001" customHeight="1" x14ac:dyDescent="0.2">
      <c r="A4" s="68" t="str">
        <f>C2</f>
        <v>LUZ</v>
      </c>
      <c r="B4" s="50">
        <v>3.1481481481481482E-3</v>
      </c>
      <c r="C4" s="4"/>
      <c r="D4" s="51">
        <v>2.1180555555555553E-3</v>
      </c>
      <c r="E4" s="5">
        <f>D4+E5</f>
        <v>4.8495370370370376E-3</v>
      </c>
      <c r="F4" s="5">
        <f>SUM(D4,E5,F6)</f>
        <v>1.2488425925925927E-2</v>
      </c>
      <c r="G4" s="5">
        <f>SUM(D4,E5,F6,G7)</f>
        <v>1.4317129629629631E-2</v>
      </c>
      <c r="H4" s="5">
        <f>SUM(D4,E5,F6,G7,H8)</f>
        <v>1.5648148148148151E-2</v>
      </c>
      <c r="I4" s="5">
        <f>SUM(D4,E5,F6,G7,H8,I9)</f>
        <v>1.7418981481481483E-2</v>
      </c>
      <c r="J4" s="5">
        <f>SUM(D4,E5,F6,G7,H8,I9,J10)</f>
        <v>1.9502314814814816E-2</v>
      </c>
      <c r="K4" s="5">
        <f>SUM(D4,E5,F6,G7,H8,I9,J10,K11)</f>
        <v>2.2754629629629632E-2</v>
      </c>
      <c r="L4" s="5">
        <f>SUM(D4,E5,F6,G7,H8,I9,J10,K11,L12)</f>
        <v>2.539351851851852E-2</v>
      </c>
      <c r="M4" s="5">
        <f>SUM(D4,E5,F6,G7,H8,I9,J10,K11,L12,M13)</f>
        <v>2.6979166666666669E-2</v>
      </c>
      <c r="N4" s="5">
        <f>SUM(D4,E5,F6,G7,H8,I9,J10,K11,L12,M13,N14)</f>
        <v>2.9409722222222226E-2</v>
      </c>
      <c r="O4" s="10">
        <f>SUM(D4,E5,F6,G7,H8,I9,J10,K11,L12,M13,N14,O15)</f>
        <v>3.3414351851851855E-2</v>
      </c>
      <c r="P4" s="10">
        <f>SUM(D4,E5,F6,G7,H8,I9,J10,K11,L12,M13,N14,O15,P16)</f>
        <v>3.636574074074074E-2</v>
      </c>
      <c r="Q4" s="10">
        <f>SUM(D4,E5,F6,G7,H8,I9,J10,K11,L12,M13,N14,O15,P16,Q17)</f>
        <v>3.9675925925925927E-2</v>
      </c>
      <c r="R4" s="10">
        <f>SUM(D4,E5,F6,G7,H8,I9,J10,K11,L12,M13,N14,O15,P16,Q17,R18)</f>
        <v>4.1192129629629634E-2</v>
      </c>
      <c r="S4" s="80">
        <v>3.4722222222222224E-4</v>
      </c>
    </row>
    <row r="5" spans="1:20" ht="20.100000000000001" customHeight="1" x14ac:dyDescent="0.2">
      <c r="A5" s="68" t="str">
        <f>D2</f>
        <v>BAS</v>
      </c>
      <c r="B5" s="52">
        <f>B4+C5</f>
        <v>5.4166666666666669E-3</v>
      </c>
      <c r="C5" s="8">
        <v>2.2685185185185182E-3</v>
      </c>
      <c r="D5" s="20"/>
      <c r="E5" s="51">
        <v>2.7314814814814819E-3</v>
      </c>
      <c r="F5" s="5">
        <f>E5+F6</f>
        <v>1.037037037037037E-2</v>
      </c>
      <c r="G5" s="5">
        <f>SUM(E5,F6,G7)</f>
        <v>1.2199074074074074E-2</v>
      </c>
      <c r="H5" s="5">
        <f>SUM(E5,F6,G7,H8)</f>
        <v>1.3530092592592592E-2</v>
      </c>
      <c r="I5" s="5">
        <f>SUM(E5,F6,G7,H8,I9)</f>
        <v>1.5300925925925924E-2</v>
      </c>
      <c r="J5" s="5">
        <f>SUM(E5,F6,G7,H8,I9,J10)</f>
        <v>1.7384259259259259E-2</v>
      </c>
      <c r="K5" s="5">
        <f>SUM(E5,F6,G7,H8,I9,J10,K11)</f>
        <v>2.0636574074074075E-2</v>
      </c>
      <c r="L5" s="5">
        <f>SUM(E5,F6,G7,H8,I9,J10,K11,L12)</f>
        <v>2.3275462962962963E-2</v>
      </c>
      <c r="M5" s="5">
        <f>SUM(E5,F6,G7,H8,I9,J10,K11,L12,M13)</f>
        <v>2.4861111111111112E-2</v>
      </c>
      <c r="N5" s="5">
        <f>SUM(E5,F6,G7,H8,I9,J10,K11,L12,M13,N14)</f>
        <v>2.7291666666666665E-2</v>
      </c>
      <c r="O5" s="10">
        <f>SUM(E5,F6,G7,H8,I9,J10,K11,L12,M13,N14,O15)</f>
        <v>3.1296296296296294E-2</v>
      </c>
      <c r="P5" s="10">
        <f>SUM(E5,F6,G7,H8,I9,J10,K11,L12,M13,N14,O15,P16)</f>
        <v>3.4247685185185187E-2</v>
      </c>
      <c r="Q5" s="10">
        <f>SUM(E5,F6,G7,H8,I9,J10,K11,L12,M13,N14,O15,P16,Q17)</f>
        <v>3.7557870370370373E-2</v>
      </c>
      <c r="R5" s="10">
        <f>SUM(E5,F6,G7,H8,I9,J10,K11,L12,M13,N14,O15,P16,Q17,R18)</f>
        <v>3.9074074074074081E-2</v>
      </c>
      <c r="S5" s="80">
        <v>3.4722222222222224E-4</v>
      </c>
    </row>
    <row r="6" spans="1:20" ht="20.100000000000001" customHeight="1" x14ac:dyDescent="0.2">
      <c r="A6" s="68" t="str">
        <f>E2</f>
        <v>TAT</v>
      </c>
      <c r="B6" s="52">
        <f>B4+C5+D6</f>
        <v>8.472222222222223E-3</v>
      </c>
      <c r="C6" s="7">
        <f>C5+D6</f>
        <v>5.324074074074074E-3</v>
      </c>
      <c r="D6" s="6">
        <v>3.0555555555555557E-3</v>
      </c>
      <c r="E6" s="4"/>
      <c r="F6" s="51">
        <v>7.6388888888888886E-3</v>
      </c>
      <c r="G6" s="5">
        <f>F6+G7</f>
        <v>9.4675925925925917E-3</v>
      </c>
      <c r="H6" s="5">
        <f>SUM(F6,G7,H8)</f>
        <v>1.079861111111111E-2</v>
      </c>
      <c r="I6" s="5">
        <f>SUM(F6,G7,H8,I9)</f>
        <v>1.2569444444444442E-2</v>
      </c>
      <c r="J6" s="5">
        <f>SUM(F6,G7,H8,I9,J10,K11)</f>
        <v>1.7905092592592591E-2</v>
      </c>
      <c r="K6" s="5">
        <f>SUM(F6,G7,H8,I9,J10,K11)</f>
        <v>1.7905092592592591E-2</v>
      </c>
      <c r="L6" s="5">
        <f>SUM(F6,G7,H8,I9,J10,K11,L12)</f>
        <v>2.0543981481481479E-2</v>
      </c>
      <c r="M6" s="5">
        <f>SUM(F6,G7,H8,I9,J10,K11,L12,M13)</f>
        <v>2.2129629629629628E-2</v>
      </c>
      <c r="N6" s="5">
        <f>SUM(F6,G7,H8,I9,J10,K11,L12,M13,N14)</f>
        <v>2.4560185185185185E-2</v>
      </c>
      <c r="O6" s="10">
        <f>SUM(F6,G7,H8,I9,J10,K11,L12,M13,N14,O15)</f>
        <v>2.8564814814814814E-2</v>
      </c>
      <c r="P6" s="10">
        <f>SUM(F6,G7,H8,I9,J10,K11,L12,M13,N14,O15,P16)</f>
        <v>3.1516203703703699E-2</v>
      </c>
      <c r="Q6" s="10">
        <f>SUM(F6,G7,H8,I9,J10,K11,L12,M13,N14,O15,P16,Q17)</f>
        <v>3.4826388888888886E-2</v>
      </c>
      <c r="R6" s="10">
        <f>SUM(F6,G7,H8,I9,J10,K11,L12,M13,N14,O15,P16,Q17,R18)</f>
        <v>3.6342592592592593E-2</v>
      </c>
      <c r="S6" s="80">
        <v>3.4722222222222224E-4</v>
      </c>
    </row>
    <row r="7" spans="1:20" ht="20.100000000000001" customHeight="1" x14ac:dyDescent="0.2">
      <c r="A7" s="68" t="str">
        <f>F2</f>
        <v>ITQ</v>
      </c>
      <c r="B7" s="52">
        <f>B4+C5+D6+E7</f>
        <v>1.6817129629629633E-2</v>
      </c>
      <c r="C7" s="7">
        <f>C5+D6+E7</f>
        <v>1.3668981481481483E-2</v>
      </c>
      <c r="D7" s="7">
        <f>D6+E7</f>
        <v>1.1400462962962965E-2</v>
      </c>
      <c r="E7" s="6">
        <v>8.3449074074074085E-3</v>
      </c>
      <c r="F7" s="20"/>
      <c r="G7" s="51">
        <v>1.8287037037037037E-3</v>
      </c>
      <c r="H7" s="5">
        <f>G7+H8</f>
        <v>3.1597222222222222E-3</v>
      </c>
      <c r="I7" s="5">
        <f>SUM(G7,H8,I9)</f>
        <v>4.9305555555555552E-3</v>
      </c>
      <c r="J7" s="5">
        <f>SUM(G7,H8,I9,J10)</f>
        <v>7.013888888888889E-3</v>
      </c>
      <c r="K7" s="5">
        <f>SUM(G7,H8,I9,J10,K11)</f>
        <v>1.0266203703703704E-2</v>
      </c>
      <c r="L7" s="5">
        <f>SUM(G7,H8,I9,J10,K11,L12)</f>
        <v>1.2905092592592593E-2</v>
      </c>
      <c r="M7" s="5">
        <f>SUM(G7,H8,I9,J10,K11,L12,M13)</f>
        <v>1.4490740740740742E-2</v>
      </c>
      <c r="N7" s="5">
        <f>SUM(G7,H8,I9,J10,K11,L12,M13,N14)</f>
        <v>1.6921296296296295E-2</v>
      </c>
      <c r="O7" s="10">
        <f>SUM(G7,H8,I9,J10,K11,L12,M13,N14,O15)</f>
        <v>2.0925925925925924E-2</v>
      </c>
      <c r="P7" s="10">
        <f>SUM(G7,H8,I9,J10,K11,L12,M13,N14,O15,P16)</f>
        <v>2.3877314814814813E-2</v>
      </c>
      <c r="Q7" s="10">
        <f>SUM(G7,H8,I9,J10,K11,L12,M13,N14,O15,P16,Q17)</f>
        <v>2.7187499999999996E-2</v>
      </c>
      <c r="R7" s="10">
        <f>SUM(G7,H8,I9,J10,K11,L12,M13,N14,O15,P16,Q17,R18)</f>
        <v>2.87037037037037E-2</v>
      </c>
      <c r="S7" s="80">
        <v>3.4722222222222224E-4</v>
      </c>
    </row>
    <row r="8" spans="1:20" ht="20.100000000000001" customHeight="1" x14ac:dyDescent="0.2">
      <c r="A8" s="68" t="str">
        <f>G2</f>
        <v>DOB</v>
      </c>
      <c r="B8" s="52">
        <f>B4+C5+D6+E7+F8</f>
        <v>1.8865740740740745E-2</v>
      </c>
      <c r="C8" s="7">
        <f>C5+D6+E7+F8</f>
        <v>1.5717592592592596E-2</v>
      </c>
      <c r="D8" s="7">
        <f>D6+E7+F8</f>
        <v>1.3449074074074075E-2</v>
      </c>
      <c r="E8" s="7">
        <f>E7+F8</f>
        <v>1.0393518518518521E-2</v>
      </c>
      <c r="F8" s="6">
        <v>2.0486111111111113E-3</v>
      </c>
      <c r="G8" s="4"/>
      <c r="H8" s="51">
        <v>1.3310185185185185E-3</v>
      </c>
      <c r="I8" s="5">
        <f>H8+I9</f>
        <v>3.1018518518518517E-3</v>
      </c>
      <c r="J8" s="5">
        <f>SUM(H8,I9,J10)</f>
        <v>5.185185185185185E-3</v>
      </c>
      <c r="K8" s="5">
        <f>SUM(H8,I9,J10,K11)</f>
        <v>8.4375000000000006E-3</v>
      </c>
      <c r="L8" s="5">
        <f>SUM(H8,I9,J10,K11,L12)</f>
        <v>1.1076388888888889E-2</v>
      </c>
      <c r="M8" s="5">
        <f>SUM(H8,I9,J10,K11,L12,M13)</f>
        <v>1.2662037037037038E-2</v>
      </c>
      <c r="N8" s="5">
        <f>SUM(H8,I9,J10,K11,L12,M13,N14)</f>
        <v>1.5092592592592593E-2</v>
      </c>
      <c r="O8" s="10">
        <f>SUM(H8,I9,J10,K11,L12,M13,N14,O15)</f>
        <v>1.9097222222222224E-2</v>
      </c>
      <c r="P8" s="10">
        <f>SUM(H8,I9,J10,K11,L12,M13,N14,O15,P16)</f>
        <v>2.2048611111111113E-2</v>
      </c>
      <c r="Q8" s="10">
        <f>SUM(H8,I9,J10,K11,L12,M13,N14,O15,P16,Q17)</f>
        <v>2.5358796296296296E-2</v>
      </c>
      <c r="R8" s="10">
        <f>SUM(H8,I9,J10,K11,L12,M13,N14,O15,P16,Q17,R18)</f>
        <v>2.6875E-2</v>
      </c>
      <c r="S8" s="80">
        <v>3.4722222222222224E-4</v>
      </c>
    </row>
    <row r="9" spans="1:20" ht="20.100000000000001" customHeight="1" x14ac:dyDescent="0.2">
      <c r="A9" s="68" t="str">
        <f>H2</f>
        <v>JBO</v>
      </c>
      <c r="B9" s="52">
        <f>B4+C5+D6+E7+F8+G9</f>
        <v>2.0648148148148152E-2</v>
      </c>
      <c r="C9" s="7">
        <f>C5+D6+E7+F8+G9</f>
        <v>1.7500000000000002E-2</v>
      </c>
      <c r="D9" s="7">
        <f>D6+E7+E7+F8+G9</f>
        <v>2.357638888888889E-2</v>
      </c>
      <c r="E9" s="7">
        <f>E7+F8+G9</f>
        <v>1.2175925925925929E-2</v>
      </c>
      <c r="F9" s="7">
        <f>F8+G9</f>
        <v>3.8310185185185183E-3</v>
      </c>
      <c r="G9" s="6">
        <v>1.7824074074074072E-3</v>
      </c>
      <c r="H9" s="20"/>
      <c r="I9" s="51">
        <v>1.7708333333333332E-3</v>
      </c>
      <c r="J9" s="5">
        <f>I9+J10</f>
        <v>3.8541666666666663E-3</v>
      </c>
      <c r="K9" s="5">
        <f>SUM(I9,J10,K11)</f>
        <v>7.106481481481481E-3</v>
      </c>
      <c r="L9" s="5">
        <f>SUM(I9,J10,K11,L12)</f>
        <v>9.7453703703703695E-3</v>
      </c>
      <c r="M9" s="5">
        <f>SUM(I9,J10,K11,L12,M13)</f>
        <v>1.1331018518518518E-2</v>
      </c>
      <c r="N9" s="5">
        <f>SUM(I9,J10,K11,L12,M13,N14)</f>
        <v>1.3761574074074074E-2</v>
      </c>
      <c r="O9" s="10">
        <f>SUM(I9,J10,K11,L12,M13,N14,O15)</f>
        <v>1.7766203703703704E-2</v>
      </c>
      <c r="P9" s="10">
        <f>SUM(I9,J10,K11,L12,M13,N14,O15,P16)</f>
        <v>2.0717592592592593E-2</v>
      </c>
      <c r="Q9" s="10">
        <f>SUM(I9,J10,K11,L12,M13,N14,O15,P16,Q17)</f>
        <v>2.402777777777778E-2</v>
      </c>
      <c r="R9" s="10">
        <f>SUM(I9,J10,K11,L12,M13,N14,O15,P16,Q17,R18)</f>
        <v>2.5543981481481483E-2</v>
      </c>
      <c r="S9" s="80">
        <v>3.4722222222222224E-4</v>
      </c>
    </row>
    <row r="10" spans="1:20" ht="20.100000000000001" customHeight="1" x14ac:dyDescent="0.2">
      <c r="A10" s="68" t="str">
        <f>I2</f>
        <v>GUA</v>
      </c>
      <c r="B10" s="52">
        <f>B4+C5+D6+E7+F8+G9+H10</f>
        <v>2.2453703703703708E-2</v>
      </c>
      <c r="C10" s="7">
        <f>C5+D6+E7+F8+G9+H10</f>
        <v>1.9305555555555558E-2</v>
      </c>
      <c r="D10" s="7">
        <f>D6+E7+F8+G9+H10</f>
        <v>1.7037037037037038E-2</v>
      </c>
      <c r="E10" s="7">
        <f>E7+F8+G9+H10</f>
        <v>1.3981481481481484E-2</v>
      </c>
      <c r="F10" s="7">
        <f>F8+G9+H10</f>
        <v>5.6365740740740742E-3</v>
      </c>
      <c r="G10" s="7">
        <f>G9+H10</f>
        <v>3.5879629629629629E-3</v>
      </c>
      <c r="H10" s="6">
        <v>1.8055555555555557E-3</v>
      </c>
      <c r="I10" s="4"/>
      <c r="J10" s="51">
        <v>2.0833333333333333E-3</v>
      </c>
      <c r="K10" s="5">
        <f>J10+K11</f>
        <v>5.3356481481481484E-3</v>
      </c>
      <c r="L10" s="5">
        <f>SUM(J10,K11,L12)</f>
        <v>7.9745370370370369E-3</v>
      </c>
      <c r="M10" s="5">
        <f>SUM(J10,K11,L12,M13)</f>
        <v>9.5601851851851855E-3</v>
      </c>
      <c r="N10" s="5">
        <f>SUM(J10,K11,L12,M13,N14)</f>
        <v>1.1990740740740741E-2</v>
      </c>
      <c r="O10" s="10">
        <f>SUM(J10,K11,L12,M13,N14,O15)</f>
        <v>1.5995370370370372E-2</v>
      </c>
      <c r="P10" s="10">
        <f>SUM(J10,K11,L12,M13,N14,O15,P16)</f>
        <v>1.894675925925926E-2</v>
      </c>
      <c r="Q10" s="10">
        <f>SUM(J10,K11,L12,M13,N14,O15,P16,Q17)</f>
        <v>2.2256944444444447E-2</v>
      </c>
      <c r="R10" s="10">
        <f>SUM(J10,K11,L12,M13,N14,O15,P16,Q17,R18)</f>
        <v>2.3773148148148151E-2</v>
      </c>
      <c r="S10" s="80">
        <v>3.4722222222222224E-4</v>
      </c>
    </row>
    <row r="11" spans="1:20" ht="20.100000000000001" customHeight="1" x14ac:dyDescent="0.2">
      <c r="A11" s="68" t="str">
        <f>J2</f>
        <v>AGN</v>
      </c>
      <c r="B11" s="52">
        <f>B4+C5+D6+E7+F8+G9+H10+I11</f>
        <v>2.4108796296296302E-2</v>
      </c>
      <c r="C11" s="7">
        <f>C5+D6+E7+F8+G9+H10+I11</f>
        <v>2.0960648148148152E-2</v>
      </c>
      <c r="D11" s="7">
        <f>D6+E7+F8+G9+H10+I11</f>
        <v>1.8692129629629631E-2</v>
      </c>
      <c r="E11" s="7">
        <f>E7+F8+G9+H10+I11</f>
        <v>1.5636574074074077E-2</v>
      </c>
      <c r="F11" s="7">
        <f>F8+G9+H10+I11</f>
        <v>7.2916666666666668E-3</v>
      </c>
      <c r="G11" s="7">
        <f>G9+H10+I11</f>
        <v>5.2430555555555555E-3</v>
      </c>
      <c r="H11" s="7">
        <f>H10+I11</f>
        <v>3.4606481481481485E-3</v>
      </c>
      <c r="I11" s="6">
        <v>1.6550925925925926E-3</v>
      </c>
      <c r="J11" s="20"/>
      <c r="K11" s="51">
        <v>3.2523148148148151E-3</v>
      </c>
      <c r="L11" s="5">
        <f>K11+L12</f>
        <v>5.8912037037037041E-3</v>
      </c>
      <c r="M11" s="5">
        <f>SUM(K11,L12,M13)</f>
        <v>7.4768518518518517E-3</v>
      </c>
      <c r="N11" s="5">
        <f>SUM(K11,L12,M13,N14)</f>
        <v>9.9074074074074064E-3</v>
      </c>
      <c r="O11" s="10">
        <f>SUM(K11,L12,M13,N14,O15)</f>
        <v>1.3912037037037035E-2</v>
      </c>
      <c r="P11" s="10">
        <f>SUM(K11,L12,M13,N14,O15,P16)</f>
        <v>1.6863425925925924E-2</v>
      </c>
      <c r="Q11" s="10">
        <f>SUM(K11,L12,M13,N14,O15,P16,Q17)</f>
        <v>2.0173611111111107E-2</v>
      </c>
      <c r="R11" s="10">
        <f>SUM(K11,L12,M13,N14,O15,P16,Q17,R18)</f>
        <v>2.1689814814814811E-2</v>
      </c>
      <c r="S11" s="80">
        <v>3.4722222222222224E-4</v>
      </c>
      <c r="T11" s="21"/>
    </row>
    <row r="12" spans="1:20" ht="20.100000000000001" customHeight="1" x14ac:dyDescent="0.2">
      <c r="A12" s="68" t="str">
        <f>K2</f>
        <v>FVC</v>
      </c>
      <c r="B12" s="52">
        <f>B4+C5+D6+E7+F8+G9+H10+I11+J12</f>
        <v>2.7233796296296301E-2</v>
      </c>
      <c r="C12" s="7">
        <f>C5+D6+E7+F8+G9+H10+I11+J12</f>
        <v>2.4085648148148151E-2</v>
      </c>
      <c r="D12" s="7">
        <f>D6+E7+F8+G9+H10+I11+J12</f>
        <v>2.1817129629629631E-2</v>
      </c>
      <c r="E12" s="7">
        <f>E7+F8+G9+H10+I11+J12</f>
        <v>1.8761574074074076E-2</v>
      </c>
      <c r="F12" s="7">
        <f>F8+G9+H10+I11+J12</f>
        <v>1.0416666666666666E-2</v>
      </c>
      <c r="G12" s="7">
        <f>G9+H10+I11+J12</f>
        <v>8.3680555555555557E-3</v>
      </c>
      <c r="H12" s="7">
        <f>H10+I11+J12</f>
        <v>6.5856481481481478E-3</v>
      </c>
      <c r="I12" s="7">
        <f>I11+J12</f>
        <v>4.7800925925925927E-3</v>
      </c>
      <c r="J12" s="6">
        <v>3.1249999999999997E-3</v>
      </c>
      <c r="K12" s="20"/>
      <c r="L12" s="51">
        <v>2.6388888888888885E-3</v>
      </c>
      <c r="M12" s="5">
        <f>L12+M13</f>
        <v>4.2245370370370362E-3</v>
      </c>
      <c r="N12" s="5">
        <f>SUM(L12,M13,N14)</f>
        <v>6.6550925925925918E-3</v>
      </c>
      <c r="O12" s="10">
        <f>SUM(L12,M13,N14,O15)</f>
        <v>1.0659722222222221E-2</v>
      </c>
      <c r="P12" s="10">
        <f>SUM(L12,M13,N14,O15,P16)</f>
        <v>1.361111111111111E-2</v>
      </c>
      <c r="Q12" s="10">
        <f>SUM(L12,M13,N14,O15,P16,Q17)</f>
        <v>1.6921296296296295E-2</v>
      </c>
      <c r="R12" s="10">
        <f>SUM(L12,M13,N14,O15,P16,Q17,R18)</f>
        <v>1.8437499999999999E-2</v>
      </c>
      <c r="S12" s="80">
        <v>3.4722222222222224E-4</v>
      </c>
    </row>
    <row r="13" spans="1:20" ht="20.100000000000001" customHeight="1" x14ac:dyDescent="0.2">
      <c r="A13" s="68" t="str">
        <f>L2</f>
        <v>POA</v>
      </c>
      <c r="B13" s="52">
        <f>B4+C5+D6+E7+F8+G9+H10+I11+J12+K13</f>
        <v>2.9837962962962969E-2</v>
      </c>
      <c r="C13" s="7">
        <f>SUM(C5,D6,E7,F8,G9,H10,I11,J12,K13)</f>
        <v>2.6689814814814819E-2</v>
      </c>
      <c r="D13" s="7">
        <f>D6+E7+F8+G9+H10+I11+J12+K13</f>
        <v>2.4421296296296299E-2</v>
      </c>
      <c r="E13" s="7">
        <f>E7+F8+G9+H10+I11+J12+K13</f>
        <v>2.1365740740740744E-2</v>
      </c>
      <c r="F13" s="7">
        <f>F8+G9+H10+I11+J12+K13</f>
        <v>1.3020833333333332E-2</v>
      </c>
      <c r="G13" s="7">
        <f>G9+H10+I11+J12+K13</f>
        <v>1.0972222222222222E-2</v>
      </c>
      <c r="H13" s="7">
        <f>H10+I11+J12+K13</f>
        <v>9.1898148148148139E-3</v>
      </c>
      <c r="I13" s="7">
        <f>I11+J12+K13</f>
        <v>7.3842592592592588E-3</v>
      </c>
      <c r="J13" s="7">
        <f>J12+K13</f>
        <v>5.7291666666666663E-3</v>
      </c>
      <c r="K13" s="6">
        <v>2.6041666666666665E-3</v>
      </c>
      <c r="L13" s="20"/>
      <c r="M13" s="51">
        <v>1.5856481481481479E-3</v>
      </c>
      <c r="N13" s="5">
        <f>M13+N14</f>
        <v>4.0162037037037033E-3</v>
      </c>
      <c r="O13" s="10">
        <f>SUM(M13,N14,O15)</f>
        <v>8.0208333333333329E-3</v>
      </c>
      <c r="P13" s="10">
        <f>SUM(M13,N14,O15,P16)</f>
        <v>1.0972222222222222E-2</v>
      </c>
      <c r="Q13" s="10">
        <f>SUM(M13,N14,O15,P16,Q17)</f>
        <v>1.4282407407407407E-2</v>
      </c>
      <c r="R13" s="10">
        <f>SUM(M13,N14,O15,P16,Q17,R18)</f>
        <v>1.579861111111111E-2</v>
      </c>
      <c r="S13" s="80">
        <v>3.4722222222222224E-4</v>
      </c>
    </row>
    <row r="14" spans="1:20" ht="20.100000000000001" customHeight="1" x14ac:dyDescent="0.2">
      <c r="A14" s="68" t="str">
        <f>M2</f>
        <v>CVN</v>
      </c>
      <c r="B14" s="52">
        <f>B4+C5+D6+E7+F8+G9+H10+I11+J12+K13+L14</f>
        <v>3.1377314814814823E-2</v>
      </c>
      <c r="C14" s="7">
        <f>SUM(C5,D6,E7,F8,G9,H10,I11,J12,K13,L14)</f>
        <v>2.822916666666667E-2</v>
      </c>
      <c r="D14" s="7">
        <f>D6+E7+F8+G9+H10+I11+J12+K13+L14</f>
        <v>2.5960648148148149E-2</v>
      </c>
      <c r="E14" s="7">
        <f>E7+F8+G9+H10+I11+J12+K13+L14</f>
        <v>2.2905092592592595E-2</v>
      </c>
      <c r="F14" s="7">
        <f>F8+G9+H10+I11+J12+K13+L14</f>
        <v>1.4560185185185185E-2</v>
      </c>
      <c r="G14" s="7">
        <f>G9+H10+I11+J12+K13+L14</f>
        <v>1.2511574074074074E-2</v>
      </c>
      <c r="H14" s="7">
        <f>H10+I11+J12+K13+L14</f>
        <v>1.0729166666666666E-2</v>
      </c>
      <c r="I14" s="7">
        <f>I11+J12+K13+L14</f>
        <v>8.9236111111111113E-3</v>
      </c>
      <c r="J14" s="7">
        <f>J12+K13+L14</f>
        <v>7.2685185185185179E-3</v>
      </c>
      <c r="K14" s="7">
        <f>K13+L14</f>
        <v>4.1435185185185186E-3</v>
      </c>
      <c r="L14" s="6">
        <v>1.5393518518518519E-3</v>
      </c>
      <c r="M14" s="4"/>
      <c r="N14" s="51">
        <v>2.4305555555555556E-3</v>
      </c>
      <c r="O14" s="10">
        <f>N14+O15</f>
        <v>6.4351851851851853E-3</v>
      </c>
      <c r="P14" s="10">
        <f>SUM(N14,O15,P16)</f>
        <v>9.386574074074075E-3</v>
      </c>
      <c r="Q14" s="10">
        <f>SUM(N14,O15,P16,Q17)</f>
        <v>1.269675925925926E-2</v>
      </c>
      <c r="R14" s="10">
        <f>SUM(N14,O15,P16,Q17,R18)</f>
        <v>1.4212962962962964E-2</v>
      </c>
      <c r="S14" s="80">
        <v>3.4722222222222224E-4</v>
      </c>
    </row>
    <row r="15" spans="1:20" ht="20.100000000000001" customHeight="1" x14ac:dyDescent="0.2">
      <c r="A15" s="68" t="str">
        <f>N2</f>
        <v>SUZ</v>
      </c>
      <c r="B15" s="52">
        <f>B4+C5+D6+E7+F8+G9+H10+I11+J12+K13+L14+M15</f>
        <v>3.3807870370370377E-2</v>
      </c>
      <c r="C15" s="7">
        <f>SUM(C5,D6,E7,F8,G9,H10,I11,J12,K13,L14,M15)</f>
        <v>3.0659722222222227E-2</v>
      </c>
      <c r="D15" s="7">
        <f>SUM(D6,E7,F8,G9,H10,I11,J12,K13,L14,M15)</f>
        <v>2.8391203703703703E-2</v>
      </c>
      <c r="E15" s="7">
        <f>E7+F8+G9+H10+I11+J12+K13+L14+M15</f>
        <v>2.5335648148148149E-2</v>
      </c>
      <c r="F15" s="7">
        <f>F8+G9+H10+I11+J12+K13+L14+M15</f>
        <v>1.699074074074074E-2</v>
      </c>
      <c r="G15" s="7">
        <f>G9+H10+I11+J12+K13+L14+M15</f>
        <v>1.494212962962963E-2</v>
      </c>
      <c r="H15" s="7">
        <f>H10+I11+J12+K13+L14+M15</f>
        <v>1.3159722222222222E-2</v>
      </c>
      <c r="I15" s="7">
        <f>I11+J12+K13+L14+M15</f>
        <v>1.1354166666666667E-2</v>
      </c>
      <c r="J15" s="7">
        <f>J12+K13+L14+M15</f>
        <v>9.6990740740740735E-3</v>
      </c>
      <c r="K15" s="7">
        <f>K13+L14+M15</f>
        <v>6.5740740740740742E-3</v>
      </c>
      <c r="L15" s="7">
        <f>L14+M15</f>
        <v>3.9699074074074072E-3</v>
      </c>
      <c r="M15" s="6">
        <v>2.4305555555555556E-3</v>
      </c>
      <c r="N15" s="20"/>
      <c r="O15" s="51">
        <v>4.0046296296296297E-3</v>
      </c>
      <c r="P15" s="5">
        <f>O15+P16</f>
        <v>6.9560185185185185E-3</v>
      </c>
      <c r="Q15" s="5">
        <f>O15+P16+Q17</f>
        <v>1.0266203703703704E-2</v>
      </c>
      <c r="R15" s="5">
        <f>O15+P16+Q17+R18</f>
        <v>1.1782407407407408E-2</v>
      </c>
      <c r="S15" s="80">
        <v>3.4722222222222224E-4</v>
      </c>
    </row>
    <row r="16" spans="1:20" ht="20.100000000000001" customHeight="1" x14ac:dyDescent="0.2">
      <c r="A16" s="68" t="str">
        <f>O2</f>
        <v>JPB</v>
      </c>
      <c r="B16" s="52">
        <f>B4+C5+D6+E7+F8+G9+H10+I11+J12+K13+L14+M15+N16</f>
        <v>3.8090277777777785E-2</v>
      </c>
      <c r="C16" s="7">
        <f>SUM(C5,D6,E7,F8,G9,H10,I11,J12,K13,L14,M15,N16)</f>
        <v>3.4942129629629635E-2</v>
      </c>
      <c r="D16" s="53">
        <f>SUM(D6,E7,F8,G9,H10,I11,J12,K13,L14,M15,N16)</f>
        <v>3.2673611111111112E-2</v>
      </c>
      <c r="E16" s="53">
        <f>E7+F8+G9+H10+I11+J12+K13+L14+M15+N16</f>
        <v>2.9618055555555557E-2</v>
      </c>
      <c r="F16" s="53">
        <f>F8+G9+H10+I11+J12+K13+L14+M15+N16</f>
        <v>2.1273148148148149E-2</v>
      </c>
      <c r="G16" s="53">
        <f>G9+H10+I11+J12+K13+L14+M15+N16</f>
        <v>1.9224537037037037E-2</v>
      </c>
      <c r="H16" s="53">
        <f>H10+I11+J12+K13+L14+M15+N16</f>
        <v>1.744212962962963E-2</v>
      </c>
      <c r="I16" s="53">
        <f>I11+J12+K13+L14+M15+N16</f>
        <v>1.5636574074074074E-2</v>
      </c>
      <c r="J16" s="53">
        <f>J12+K13+L14+M15+N16</f>
        <v>1.398148148148148E-2</v>
      </c>
      <c r="K16" s="53">
        <f>K13+L14+M15+N16</f>
        <v>1.0856481481481481E-2</v>
      </c>
      <c r="L16" s="53">
        <f>L14+M15+N16</f>
        <v>8.2523148148148148E-3</v>
      </c>
      <c r="M16" s="53">
        <f>M15+N16</f>
        <v>6.7129629629629631E-3</v>
      </c>
      <c r="N16" s="6">
        <v>4.2824074074074075E-3</v>
      </c>
      <c r="O16" s="4"/>
      <c r="P16" s="51">
        <v>2.9513888888888888E-3</v>
      </c>
      <c r="Q16" s="5">
        <f>P16+Q17</f>
        <v>6.2615740740740739E-3</v>
      </c>
      <c r="R16" s="5">
        <f>P16+Q17+R18</f>
        <v>7.7777777777777776E-3</v>
      </c>
      <c r="S16" s="80">
        <v>3.4722222222222224E-4</v>
      </c>
    </row>
    <row r="17" spans="1:19" ht="20.100000000000001" customHeight="1" x14ac:dyDescent="0.2">
      <c r="A17" s="68" t="str">
        <f>P2</f>
        <v>BCB</v>
      </c>
      <c r="B17" s="52">
        <f>B4+C5+D6+E7+F8+G9+H10+I11+J12+K13+L14+M15+N16+O17</f>
        <v>4.0798611111111119E-2</v>
      </c>
      <c r="C17" s="7">
        <f>SUM(C5,D6,E7,F8,G9,H10,I11,J12,K13,L14,M15,N16,O17)</f>
        <v>3.7650462962962969E-2</v>
      </c>
      <c r="D17" s="53">
        <f>SUM(D6,E7,F8,G9,H10,I11,J12,K13,L14,M15,N16,O17)</f>
        <v>3.5381944444444445E-2</v>
      </c>
      <c r="E17" s="53">
        <f>SUM(E7,F8,G9,H10,I11,J12,K13,L14,M15,N16,O17)</f>
        <v>3.2326388888888891E-2</v>
      </c>
      <c r="F17" s="53">
        <f>F8+G9+H10+I11+J12+K13+L14+M15+N16+O17</f>
        <v>2.3981481481481482E-2</v>
      </c>
      <c r="G17" s="53">
        <f>G9+H10+I11+J12+K13+L14+M15+N16+O17</f>
        <v>2.193287037037037E-2</v>
      </c>
      <c r="H17" s="53">
        <f>H10+I11+J12+K13+L14+M15+N16+O17</f>
        <v>2.0150462962962964E-2</v>
      </c>
      <c r="I17" s="53">
        <f>I11+J12+K13+L14+M15+N16+O17</f>
        <v>1.8344907407407407E-2</v>
      </c>
      <c r="J17" s="53">
        <f>J12+K13+L14+M15+N16+O17</f>
        <v>1.6689814814814814E-2</v>
      </c>
      <c r="K17" s="53">
        <f>K13+L14+M15+N16+O17</f>
        <v>1.3564814814814814E-2</v>
      </c>
      <c r="L17" s="53">
        <f>L14+M15+N16+O17</f>
        <v>1.0960648148148148E-2</v>
      </c>
      <c r="M17" s="53">
        <f>M15+N16+O17</f>
        <v>9.4212962962962957E-3</v>
      </c>
      <c r="N17" s="7">
        <f>N16+O17</f>
        <v>6.9907407407407409E-3</v>
      </c>
      <c r="O17" s="6">
        <v>2.7083333333333334E-3</v>
      </c>
      <c r="P17" s="20"/>
      <c r="Q17" s="51">
        <v>3.3101851851851851E-3</v>
      </c>
      <c r="R17" s="5">
        <f>Q17+R18</f>
        <v>4.8263888888888887E-3</v>
      </c>
      <c r="S17" s="80">
        <v>3.4722222222222224E-4</v>
      </c>
    </row>
    <row r="18" spans="1:19" ht="20.100000000000001" customHeight="1" x14ac:dyDescent="0.2">
      <c r="A18" s="68" t="str">
        <f>Q2</f>
        <v>MDC</v>
      </c>
      <c r="B18" s="52">
        <f>B4+C5+D6+E7+F8+G9+H10+I11+J12+K13+L14+M15+N16+O17+P18</f>
        <v>4.4131944444444453E-2</v>
      </c>
      <c r="C18" s="7">
        <f>SUM(C5,D6,E7,F8,G9,H10,I11,J12,K13,L14,M15,N16,O17,P18)</f>
        <v>4.0983796296296303E-2</v>
      </c>
      <c r="D18" s="53">
        <f>SUM(D6,E7,F8,G9,H10,I11,J12,K13,L14,M15,N16,O17,P18)</f>
        <v>3.8715277777777779E-2</v>
      </c>
      <c r="E18" s="53">
        <f>SUM(E7,F8,G9,H10,I11,J12,K13,L14,M15,N16,O17,P18)</f>
        <v>3.5659722222222225E-2</v>
      </c>
      <c r="F18" s="53">
        <f>F8+G9+H10+I11+J12+K13+L14+M15+N16+O17+P18</f>
        <v>2.7314814814814816E-2</v>
      </c>
      <c r="G18" s="53">
        <f>G9+H10+I11+J12+K13+L14+M15+N16+O17+P18</f>
        <v>2.5266203703703704E-2</v>
      </c>
      <c r="H18" s="53">
        <f>H10+I11+J12+K13+L14+M15+N16+O17+P18</f>
        <v>2.3483796296296298E-2</v>
      </c>
      <c r="I18" s="53">
        <f>I11+J12+K13+L14+M15+N16+O17+P18</f>
        <v>2.1678240740740741E-2</v>
      </c>
      <c r="J18" s="53">
        <f>J12+K13+L14+M15+N16+O17+P18</f>
        <v>2.0023148148148148E-2</v>
      </c>
      <c r="K18" s="53">
        <f>K13+L14+M15+N16+O17+P18</f>
        <v>1.6898148148148148E-2</v>
      </c>
      <c r="L18" s="53">
        <f>L14+M15+N16+O17+P18</f>
        <v>1.4293981481481482E-2</v>
      </c>
      <c r="M18" s="53">
        <f>M15+N16+O17+P18</f>
        <v>1.275462962962963E-2</v>
      </c>
      <c r="N18" s="7">
        <f>N16+O17+P18</f>
        <v>1.0324074074074074E-2</v>
      </c>
      <c r="O18" s="7">
        <f>O17+P18</f>
        <v>6.0416666666666674E-3</v>
      </c>
      <c r="P18" s="6">
        <v>3.3333333333333335E-3</v>
      </c>
      <c r="Q18" s="4"/>
      <c r="R18" s="51">
        <v>1.5162037037037036E-3</v>
      </c>
      <c r="S18" s="80">
        <v>3.4722222222222224E-4</v>
      </c>
    </row>
    <row r="19" spans="1:19" ht="20.100000000000001" customHeight="1" x14ac:dyDescent="0.2">
      <c r="A19" s="68" t="str">
        <f>R2</f>
        <v>EST</v>
      </c>
      <c r="B19" s="52">
        <f>B4+C5+D6+E7+F8+G9+H10+I11+J12+K13+L14+M15+N16+O17+P18+Q19</f>
        <v>4.6030092592592602E-2</v>
      </c>
      <c r="C19" s="7">
        <f>SUM(C5,D6,E7,F8,G9,H10,I11,J12,K13,L14,M15,N16,O17,P18,Q19)</f>
        <v>4.2881944444444452E-2</v>
      </c>
      <c r="D19" s="53">
        <f>SUM(D6,E7,F8,G9,H10,I11,J12,K13,L14,M15,N16,O17,P18,Q19)</f>
        <v>4.0613425925925928E-2</v>
      </c>
      <c r="E19" s="53">
        <f>SUM(E7,F8,G9,H10,I11,J12,K13,L14,M15,N16,O17,P18,Q19)</f>
        <v>3.7557870370370373E-2</v>
      </c>
      <c r="F19" s="53">
        <f>F8+G9+H10+I11+J12+K13+L14+M15+N16+O17+P18+Q19</f>
        <v>2.9212962962962965E-2</v>
      </c>
      <c r="G19" s="53">
        <f>G9+H10+I11+J12+K13+L14+M15+N16+O17+P18+Q19</f>
        <v>2.7164351851851853E-2</v>
      </c>
      <c r="H19" s="53">
        <f>H10+I11+J12+K13+L14+M15+N16+O17+P18+Q19</f>
        <v>2.5381944444444447E-2</v>
      </c>
      <c r="I19" s="53">
        <f>I11+J12+K13+L14+M15+N16+O17+P18+Q19</f>
        <v>2.357638888888889E-2</v>
      </c>
      <c r="J19" s="53">
        <f>J12+K13+L14+M15+N16+O17+P18+Q19</f>
        <v>2.1921296296296296E-2</v>
      </c>
      <c r="K19" s="53">
        <f>K13+L14+M15+N16+O17+P18+Q19</f>
        <v>1.8796296296296297E-2</v>
      </c>
      <c r="L19" s="53">
        <f>L14+M15+N16+O17+P18+Q19</f>
        <v>1.6192129629629629E-2</v>
      </c>
      <c r="M19" s="53">
        <f>M15+N16+O17+P18+Q19</f>
        <v>1.4652777777777778E-2</v>
      </c>
      <c r="N19" s="7">
        <f>N16+O17+P18+Q19</f>
        <v>1.2222222222222223E-2</v>
      </c>
      <c r="O19" s="7">
        <f>O17+P18+Q19</f>
        <v>7.9398148148148162E-3</v>
      </c>
      <c r="P19" s="7">
        <f>P18+Q19</f>
        <v>5.2314814814814819E-3</v>
      </c>
      <c r="Q19" s="6">
        <v>1.8981481481481482E-3</v>
      </c>
      <c r="R19" s="4"/>
    </row>
    <row r="20" spans="1:19" ht="20.100000000000001" customHeight="1" x14ac:dyDescent="0.2">
      <c r="B20" s="91" t="s">
        <v>117</v>
      </c>
      <c r="C20" s="80">
        <v>3.4722222222222224E-4</v>
      </c>
      <c r="D20" s="80">
        <v>3.4722222222222224E-4</v>
      </c>
      <c r="E20" s="80">
        <v>3.4722222222222224E-4</v>
      </c>
      <c r="F20" s="80">
        <v>3.4722222222222224E-4</v>
      </c>
      <c r="G20" s="80">
        <v>3.4722222222222224E-4</v>
      </c>
      <c r="H20" s="80">
        <v>3.4722222222222224E-4</v>
      </c>
      <c r="I20" s="80">
        <v>3.4722222222222224E-4</v>
      </c>
      <c r="J20" s="80">
        <v>3.4722222222222224E-4</v>
      </c>
      <c r="K20" s="80">
        <v>3.4722222222222224E-4</v>
      </c>
      <c r="L20" s="80">
        <v>3.4722222222222224E-4</v>
      </c>
      <c r="M20" s="80">
        <v>3.4722222222222224E-4</v>
      </c>
      <c r="N20" s="80">
        <v>3.4722222222222224E-4</v>
      </c>
      <c r="O20" s="80">
        <v>3.4722222222222224E-4</v>
      </c>
      <c r="P20" s="80">
        <v>3.4722222222222224E-4</v>
      </c>
      <c r="Q20" s="80">
        <v>3.4722222222222224E-4</v>
      </c>
    </row>
  </sheetData>
  <sheetProtection selectLockedCells="1" selectUnlockedCells="1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O14"/>
  <sheetViews>
    <sheetView windowProtection="1" workbookViewId="0">
      <selection activeCell="M3" sqref="M3"/>
    </sheetView>
  </sheetViews>
  <sheetFormatPr defaultRowHeight="20.100000000000001" customHeight="1" x14ac:dyDescent="0.2"/>
  <cols>
    <col min="1" max="1" width="12.85546875" style="2" customWidth="1"/>
    <col min="2" max="2" width="11.5703125" style="32" customWidth="1"/>
    <col min="3" max="12" width="8.7109375" style="32" customWidth="1"/>
    <col min="13" max="13" width="12" style="32" customWidth="1"/>
    <col min="14" max="16384" width="9.140625" style="2"/>
  </cols>
  <sheetData>
    <row r="1" spans="1:15" ht="39.950000000000003" customHeight="1" x14ac:dyDescent="0.2">
      <c r="A1" s="30">
        <v>1.3888888888888889E-3</v>
      </c>
      <c r="B1" s="71" t="s">
        <v>26</v>
      </c>
      <c r="C1" s="71"/>
      <c r="D1" s="71"/>
      <c r="E1" s="71"/>
      <c r="F1" s="71"/>
      <c r="G1" s="71"/>
      <c r="H1" s="71"/>
      <c r="I1" s="71"/>
      <c r="J1" s="65" t="s">
        <v>106</v>
      </c>
      <c r="K1" s="67"/>
      <c r="L1" s="71"/>
      <c r="M1" s="64" t="s">
        <v>107</v>
      </c>
      <c r="N1" s="64"/>
      <c r="O1" s="64"/>
    </row>
    <row r="2" spans="1:15" ht="20.100000000000001" customHeight="1" x14ac:dyDescent="0.2">
      <c r="A2" s="68" t="s">
        <v>0</v>
      </c>
      <c r="B2" s="68" t="s">
        <v>46</v>
      </c>
      <c r="C2" s="68" t="s">
        <v>59</v>
      </c>
      <c r="D2" s="68" t="s">
        <v>75</v>
      </c>
      <c r="E2" s="68" t="s">
        <v>74</v>
      </c>
      <c r="F2" s="68" t="s">
        <v>76</v>
      </c>
      <c r="G2" s="68" t="s">
        <v>77</v>
      </c>
      <c r="H2" s="68" t="s">
        <v>78</v>
      </c>
      <c r="I2" s="68" t="s">
        <v>79</v>
      </c>
      <c r="J2" s="68" t="s">
        <v>80</v>
      </c>
      <c r="K2" s="68" t="s">
        <v>67</v>
      </c>
      <c r="L2" s="68" t="s">
        <v>68</v>
      </c>
    </row>
    <row r="3" spans="1:15" ht="20.100000000000001" customHeight="1" x14ac:dyDescent="0.2">
      <c r="A3" s="68" t="str">
        <f>B2</f>
        <v>BAS</v>
      </c>
      <c r="B3" s="4"/>
      <c r="C3" s="24">
        <v>2.7314814814814819E-3</v>
      </c>
      <c r="D3" s="5">
        <f>C3+D4</f>
        <v>5.3587962962962973E-3</v>
      </c>
      <c r="E3" s="5">
        <f>C3+D4+E5</f>
        <v>8.0902777777777796E-3</v>
      </c>
      <c r="F3" s="5">
        <f>C3+D4+E5+F6</f>
        <v>1.0891203703703705E-2</v>
      </c>
      <c r="G3" s="5">
        <f>C3+D4+E5+F6+G7</f>
        <v>1.3321759259259261E-2</v>
      </c>
      <c r="H3" s="5">
        <f>C3+D4+E5+F6+G7+H8</f>
        <v>1.576388888888889E-2</v>
      </c>
      <c r="I3" s="5">
        <f>C3+D4+E5+F6+G7+H8+I9</f>
        <v>1.7835648148148149E-2</v>
      </c>
      <c r="J3" s="5">
        <f>C3+D4+E5+F6+G7+H8+I9+J10</f>
        <v>1.9525462962962963E-2</v>
      </c>
      <c r="K3" s="5">
        <f>C3+D4+E5+F6+G7+H8+I9+J10+K11</f>
        <v>2.1111111111111112E-2</v>
      </c>
      <c r="L3" s="10">
        <f>SUM(C3,D4,E5,F6,G7,H8,I9,J10,K11,L12)</f>
        <v>2.3541666666666669E-2</v>
      </c>
      <c r="M3" s="91" t="s">
        <v>117</v>
      </c>
    </row>
    <row r="4" spans="1:15" ht="20.100000000000001" customHeight="1" x14ac:dyDescent="0.2">
      <c r="A4" s="68" t="str">
        <f>C2</f>
        <v>TAT</v>
      </c>
      <c r="B4" s="9">
        <v>3.0555555555555557E-3</v>
      </c>
      <c r="C4" s="4"/>
      <c r="D4" s="24">
        <v>2.627314814814815E-3</v>
      </c>
      <c r="E4" s="5">
        <f>D4+E5</f>
        <v>5.3587962962962973E-3</v>
      </c>
      <c r="F4" s="5">
        <f>D4+E5+F6</f>
        <v>8.1597222222222227E-3</v>
      </c>
      <c r="G4" s="5">
        <f>D4+E5+F6+G7</f>
        <v>1.0590277777777778E-2</v>
      </c>
      <c r="H4" s="5">
        <f>D4+E5+F6+G7+H8</f>
        <v>1.3032407407407407E-2</v>
      </c>
      <c r="I4" s="5">
        <f>D4+E5+F6+G7+H8+I9</f>
        <v>1.5104166666666667E-2</v>
      </c>
      <c r="J4" s="5">
        <f>D4+E5+F6+G7+H8+I9+J10</f>
        <v>1.6793981481481483E-2</v>
      </c>
      <c r="K4" s="5">
        <f>D4+E5+F6+G7+H8+I9+J10+K11</f>
        <v>1.8379629629629631E-2</v>
      </c>
      <c r="L4" s="10">
        <f>SUM(D4,E5,F6,G7,H8,I9,J10,K11,L12)</f>
        <v>2.0810185185185189E-2</v>
      </c>
      <c r="M4" s="80">
        <v>3.4722222222222224E-4</v>
      </c>
    </row>
    <row r="5" spans="1:15" ht="20.100000000000001" customHeight="1" x14ac:dyDescent="0.2">
      <c r="A5" s="68" t="str">
        <f>D2</f>
        <v>EGO</v>
      </c>
      <c r="B5" s="7">
        <f>B4+C5</f>
        <v>7.7430555555555551E-3</v>
      </c>
      <c r="C5" s="9">
        <v>4.6874999999999998E-3</v>
      </c>
      <c r="D5" s="4"/>
      <c r="E5" s="24">
        <v>2.7314814814814819E-3</v>
      </c>
      <c r="F5" s="5">
        <f>E5+F6</f>
        <v>5.5324074074074078E-3</v>
      </c>
      <c r="G5" s="5">
        <f>E5+F6+G7</f>
        <v>7.9629629629629634E-3</v>
      </c>
      <c r="H5" s="5">
        <f>E5+F6+G7+H8</f>
        <v>1.0405092592592593E-2</v>
      </c>
      <c r="I5" s="5">
        <f>E5+F6+G7+H8+I9</f>
        <v>1.2476851851851852E-2</v>
      </c>
      <c r="J5" s="5">
        <f>E5+F6+G7+H8+I9+J10</f>
        <v>1.4166666666666668E-2</v>
      </c>
      <c r="K5" s="5">
        <f>E5+F6+G7+H8+I9+J10+K11</f>
        <v>1.5752314814814816E-2</v>
      </c>
      <c r="L5" s="10">
        <f>SUM(E5,F6,G7,H8,I9,J10,K11,L12)</f>
        <v>1.818287037037037E-2</v>
      </c>
      <c r="M5" s="80">
        <v>3.4722222222222224E-4</v>
      </c>
    </row>
    <row r="6" spans="1:15" ht="20.100000000000001" customHeight="1" x14ac:dyDescent="0.2">
      <c r="A6" s="68" t="str">
        <f>E2</f>
        <v>ERM</v>
      </c>
      <c r="B6" s="7">
        <f>B4+C5+D6</f>
        <v>1.0474537037037037E-2</v>
      </c>
      <c r="C6" s="7">
        <f>C5+D6</f>
        <v>7.4189814814814813E-3</v>
      </c>
      <c r="D6" s="9">
        <v>2.7314814814814819E-3</v>
      </c>
      <c r="E6" s="4"/>
      <c r="F6" s="24">
        <v>2.8009259259259259E-3</v>
      </c>
      <c r="G6" s="5">
        <f>F6+G7</f>
        <v>5.2314814814814811E-3</v>
      </c>
      <c r="H6" s="5">
        <f>F6+G7+H8</f>
        <v>7.6736111111111102E-3</v>
      </c>
      <c r="I6" s="5">
        <f>F6+G7+H8+I9</f>
        <v>9.7453703703703695E-3</v>
      </c>
      <c r="J6" s="5">
        <f>F6+G7+H8+I9+J10</f>
        <v>1.1435185185185184E-2</v>
      </c>
      <c r="K6" s="5">
        <f>F6+G7+H8+I9+J10+K11</f>
        <v>1.3020833333333332E-2</v>
      </c>
      <c r="L6" s="10">
        <f>SUM(F6,G7,H8,I9,J10,K11,L12)</f>
        <v>1.5451388888888888E-2</v>
      </c>
      <c r="M6" s="80">
        <v>3.4722222222222224E-4</v>
      </c>
    </row>
    <row r="7" spans="1:15" ht="20.100000000000001" customHeight="1" x14ac:dyDescent="0.2">
      <c r="A7" s="68" t="str">
        <f>F2</f>
        <v>SMP</v>
      </c>
      <c r="B7" s="7">
        <f>B4+C5+D6+E7</f>
        <v>1.3298611111111112E-2</v>
      </c>
      <c r="C7" s="7">
        <f>C5+D6+E7</f>
        <v>1.0243055555555556E-2</v>
      </c>
      <c r="D7" s="7">
        <f>D6+E7</f>
        <v>5.5555555555555558E-3</v>
      </c>
      <c r="E7" s="9">
        <v>2.8240740740740739E-3</v>
      </c>
      <c r="F7" s="4"/>
      <c r="G7" s="24">
        <v>2.4305555555555556E-3</v>
      </c>
      <c r="H7" s="5">
        <f>G7+H8</f>
        <v>4.8726851851851848E-3</v>
      </c>
      <c r="I7" s="5">
        <f>G7+H8+I9</f>
        <v>6.9444444444444441E-3</v>
      </c>
      <c r="J7" s="5">
        <f>G7+H8+I9+J10</f>
        <v>8.6342592592592582E-3</v>
      </c>
      <c r="K7" s="5">
        <f>G7+H8+I9+J10+K11</f>
        <v>1.0219907407407407E-2</v>
      </c>
      <c r="L7" s="48">
        <f>G7+H8+I9+J10+K11+L12</f>
        <v>1.2650462962962962E-2</v>
      </c>
      <c r="M7" s="80">
        <v>3.4722222222222224E-4</v>
      </c>
    </row>
    <row r="8" spans="1:15" ht="20.100000000000001" customHeight="1" x14ac:dyDescent="0.2">
      <c r="A8" s="68" t="str">
        <f>G2</f>
        <v>ITI</v>
      </c>
      <c r="B8" s="7">
        <f>B4+C5+D6+E7+F8</f>
        <v>1.5729166666666669E-2</v>
      </c>
      <c r="C8" s="7">
        <f>C5+D6+E7+F8</f>
        <v>1.2673611111111111E-2</v>
      </c>
      <c r="D8" s="7">
        <f>D6+E7+F8</f>
        <v>7.9861111111111105E-3</v>
      </c>
      <c r="E8" s="7">
        <f>E7+F8</f>
        <v>5.2546296296296299E-3</v>
      </c>
      <c r="F8" s="9">
        <v>2.4305555555555556E-3</v>
      </c>
      <c r="G8" s="4"/>
      <c r="H8" s="24">
        <v>2.4421296296296296E-3</v>
      </c>
      <c r="I8" s="5">
        <f>H8+I9</f>
        <v>4.5138888888888885E-3</v>
      </c>
      <c r="J8" s="5">
        <f>H8+I9+J10</f>
        <v>6.2037037037037035E-3</v>
      </c>
      <c r="K8" s="5">
        <f>H8+I9+J10+K11</f>
        <v>7.7893518518518511E-3</v>
      </c>
      <c r="L8" s="48">
        <f>H8+I9+J10+K11+L12</f>
        <v>1.0219907407407407E-2</v>
      </c>
      <c r="M8" s="80">
        <v>3.4722222222222224E-4</v>
      </c>
    </row>
    <row r="9" spans="1:15" ht="20.100000000000001" customHeight="1" x14ac:dyDescent="0.2">
      <c r="A9" s="68" t="str">
        <f>H2</f>
        <v>EMF</v>
      </c>
      <c r="B9" s="7">
        <f>B4+C5+D6+E7+F8+G9</f>
        <v>1.8587962962962966E-2</v>
      </c>
      <c r="C9" s="7">
        <f>C5+D6+E7+F8+G9</f>
        <v>1.5532407407407408E-2</v>
      </c>
      <c r="D9" s="7">
        <f>D6+E7+F8+G9</f>
        <v>1.0844907407407407E-2</v>
      </c>
      <c r="E9" s="7">
        <f>E7+F8+G9</f>
        <v>8.1134259259259267E-3</v>
      </c>
      <c r="F9" s="7">
        <f>F8+G9</f>
        <v>5.2893518518518524E-3</v>
      </c>
      <c r="G9" s="9">
        <v>2.8587962962962963E-3</v>
      </c>
      <c r="H9" s="4"/>
      <c r="I9" s="24">
        <v>2.0717592592592593E-3</v>
      </c>
      <c r="J9" s="5">
        <f>I9+J10</f>
        <v>3.7615740740740743E-3</v>
      </c>
      <c r="K9" s="5">
        <f>I9+J10+K11</f>
        <v>5.347222222222222E-3</v>
      </c>
      <c r="L9" s="48">
        <f>I9+J10+K11+L12</f>
        <v>7.7777777777777776E-3</v>
      </c>
      <c r="M9" s="80">
        <v>3.4722222222222224E-4</v>
      </c>
    </row>
    <row r="10" spans="1:15" ht="20.100000000000001" customHeight="1" x14ac:dyDescent="0.2">
      <c r="A10" s="68" t="str">
        <f>I2</f>
        <v>IQC</v>
      </c>
      <c r="B10" s="7">
        <f>B4+C5+D6+E7+F8+G9+H10</f>
        <v>2.027777777777778E-2</v>
      </c>
      <c r="C10" s="7">
        <f>C5+D6+E7+F8+G9+H10</f>
        <v>1.7222222222222222E-2</v>
      </c>
      <c r="D10" s="7">
        <f>D6+E7+F8+G9+H10</f>
        <v>1.2534722222222221E-2</v>
      </c>
      <c r="E10" s="7">
        <f>E7+F8+G9+H10</f>
        <v>9.8032407407407408E-3</v>
      </c>
      <c r="F10" s="7">
        <f>F8+G9+H10</f>
        <v>6.9791666666666674E-3</v>
      </c>
      <c r="G10" s="7">
        <f>G9+H10</f>
        <v>4.5486111111111109E-3</v>
      </c>
      <c r="H10" s="9">
        <v>1.689814814814815E-3</v>
      </c>
      <c r="I10" s="4"/>
      <c r="J10" s="24">
        <v>1.689814814814815E-3</v>
      </c>
      <c r="K10" s="5">
        <f>J10+K11</f>
        <v>3.2754629629629627E-3</v>
      </c>
      <c r="L10" s="48">
        <f>J10+K11+L12</f>
        <v>5.7060185185185183E-3</v>
      </c>
      <c r="M10" s="80">
        <v>3.4722222222222224E-4</v>
      </c>
    </row>
    <row r="11" spans="1:15" ht="20.100000000000001" customHeight="1" x14ac:dyDescent="0.2">
      <c r="A11" s="68" t="str">
        <f>J2</f>
        <v>ARC</v>
      </c>
      <c r="B11" s="7">
        <f>B4+C5+D6+E7+F8+G9+H10+I11</f>
        <v>2.1979166666666668E-2</v>
      </c>
      <c r="C11" s="7">
        <f>C5+D6+E7+F8+G9+H10+I11</f>
        <v>1.892361111111111E-2</v>
      </c>
      <c r="D11" s="7">
        <f>D6+E7+F8+G9+H10+I11</f>
        <v>1.4236111111111111E-2</v>
      </c>
      <c r="E11" s="7">
        <f>+E7+F8+G9+H10+I11</f>
        <v>1.150462962962963E-2</v>
      </c>
      <c r="F11" s="7">
        <f>F8+G9+H10+I11</f>
        <v>8.6805555555555559E-3</v>
      </c>
      <c r="G11" s="7">
        <f>G9+H10+I11</f>
        <v>6.2500000000000003E-3</v>
      </c>
      <c r="H11" s="7">
        <f>H10+I11</f>
        <v>3.3912037037037044E-3</v>
      </c>
      <c r="I11" s="9">
        <v>1.7013888888888892E-3</v>
      </c>
      <c r="J11" s="4"/>
      <c r="K11" s="24">
        <v>1.5856481481481479E-3</v>
      </c>
      <c r="L11" s="48">
        <f>K11+L12</f>
        <v>4.0162037037037033E-3</v>
      </c>
      <c r="M11" s="80">
        <v>3.4722222222222224E-4</v>
      </c>
    </row>
    <row r="12" spans="1:15" ht="20.100000000000001" customHeight="1" x14ac:dyDescent="0.2">
      <c r="A12" s="68" t="str">
        <f>K2</f>
        <v>CVN</v>
      </c>
      <c r="B12" s="7">
        <f>B4+C5+D6+E7+F8+G9+H10+I11+J12</f>
        <v>2.3518518518518518E-2</v>
      </c>
      <c r="C12" s="7">
        <f>C5+D6+E7+F8+G9+H10+I11+J12</f>
        <v>2.0462962962962961E-2</v>
      </c>
      <c r="D12" s="7">
        <f>D6+E7+F8+G9+H10+I11+J12</f>
        <v>1.5775462962962963E-2</v>
      </c>
      <c r="E12" s="7">
        <f>E7+F8+G9+H10+I11+J12</f>
        <v>1.3043981481481483E-2</v>
      </c>
      <c r="F12" s="7">
        <f>F8+G9+H10+I11+J12</f>
        <v>1.0219907407407408E-2</v>
      </c>
      <c r="G12" s="7">
        <f>G9+H10+I11+J12</f>
        <v>7.789351851851852E-3</v>
      </c>
      <c r="H12" s="7">
        <f>H10+I11+J12</f>
        <v>4.9305555555555561E-3</v>
      </c>
      <c r="I12" s="7">
        <f>I11+J12</f>
        <v>3.2407407407407411E-3</v>
      </c>
      <c r="J12" s="9">
        <v>1.5393518518518519E-3</v>
      </c>
      <c r="K12" s="4"/>
      <c r="L12" s="47">
        <v>2.4305555555555556E-3</v>
      </c>
      <c r="M12" s="80">
        <v>3.4722222222222224E-4</v>
      </c>
    </row>
    <row r="13" spans="1:15" ht="20.100000000000001" customHeight="1" x14ac:dyDescent="0.2">
      <c r="A13" s="68" t="s">
        <v>68</v>
      </c>
      <c r="B13" s="7">
        <f>SUM(B4,C5,D6,E7,F8,G9,H10,I11,J12,K13)</f>
        <v>2.5949074074074076E-2</v>
      </c>
      <c r="C13" s="7">
        <f>SUM(C5,D6,E7,F8,G9,H10,I11,J12,K13)</f>
        <v>2.2893518518518514E-2</v>
      </c>
      <c r="D13" s="7">
        <f>SUM(D6,E7,F8,G9,H10,I11,J12,K13)</f>
        <v>1.8206018518518517E-2</v>
      </c>
      <c r="E13" s="7">
        <f>SUM(E7,F8,G9,H10,I11,J12,K13)</f>
        <v>1.5474537037037038E-2</v>
      </c>
      <c r="F13" s="7">
        <f>SUM(F8,G9,H10,I11,J12,K13)</f>
        <v>1.2650462962962964E-2</v>
      </c>
      <c r="G13" s="7">
        <f>SUM(G9,H10,I11,J12,K13)</f>
        <v>1.0219907407407407E-2</v>
      </c>
      <c r="H13" s="7">
        <f>H10+I11+J12+K13</f>
        <v>7.3611111111111117E-3</v>
      </c>
      <c r="I13" s="7">
        <f>I11+J12+K13</f>
        <v>5.6712962962962967E-3</v>
      </c>
      <c r="J13" s="52">
        <f>J12+K13</f>
        <v>3.9699074074074072E-3</v>
      </c>
      <c r="K13" s="50">
        <v>2.4305555555555556E-3</v>
      </c>
      <c r="L13" s="46"/>
    </row>
    <row r="14" spans="1:15" ht="20.100000000000001" customHeight="1" x14ac:dyDescent="0.2">
      <c r="A14" s="1"/>
      <c r="B14" s="91" t="s">
        <v>117</v>
      </c>
      <c r="C14" s="80">
        <v>3.4722222222222224E-4</v>
      </c>
      <c r="D14" s="80">
        <v>3.4722222222222224E-4</v>
      </c>
      <c r="E14" s="80">
        <v>3.4722222222222224E-4</v>
      </c>
      <c r="F14" s="80">
        <v>3.4722222222222224E-4</v>
      </c>
      <c r="G14" s="80">
        <v>3.4722222222222224E-4</v>
      </c>
      <c r="H14" s="80">
        <v>3.4722222222222224E-4</v>
      </c>
      <c r="I14" s="80">
        <v>3.4722222222222224E-4</v>
      </c>
      <c r="J14" s="80">
        <v>3.4722222222222224E-4</v>
      </c>
      <c r="K14" s="80">
        <v>3.4722222222222224E-4</v>
      </c>
    </row>
  </sheetData>
  <sheetProtection selectLockedCells="1" selectUnlockedCells="1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Z27"/>
  <sheetViews>
    <sheetView windowProtection="1" topLeftCell="D10" zoomScale="85" zoomScaleNormal="85" workbookViewId="0">
      <selection activeCell="B27" sqref="B27"/>
    </sheetView>
  </sheetViews>
  <sheetFormatPr defaultColWidth="8.7109375" defaultRowHeight="20.100000000000001" customHeight="1" x14ac:dyDescent="0.2"/>
  <cols>
    <col min="1" max="1" width="12.85546875" style="2" customWidth="1"/>
    <col min="2" max="2" width="11" style="32" customWidth="1"/>
    <col min="3" max="25" width="8.7109375" style="32"/>
    <col min="26" max="26" width="11.28515625" style="32" bestFit="1" customWidth="1"/>
    <col min="27" max="16384" width="8.7109375" style="2"/>
  </cols>
  <sheetData>
    <row r="1" spans="1:26" ht="39.950000000000003" customHeight="1" x14ac:dyDescent="0.2">
      <c r="A1" s="30">
        <v>1.3888888888888889E-3</v>
      </c>
      <c r="B1" s="71" t="s">
        <v>27</v>
      </c>
      <c r="C1" s="71"/>
      <c r="D1" s="71"/>
      <c r="E1" s="71"/>
      <c r="F1" s="71"/>
      <c r="G1" s="71"/>
      <c r="H1" s="71"/>
      <c r="I1" s="71"/>
      <c r="J1" s="65" t="s">
        <v>101</v>
      </c>
      <c r="K1" s="67"/>
      <c r="L1" s="71"/>
      <c r="M1" s="67" t="s">
        <v>100</v>
      </c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</row>
    <row r="2" spans="1:26" ht="20.100000000000001" customHeight="1" x14ac:dyDescent="0.2">
      <c r="A2" s="68" t="s">
        <v>0</v>
      </c>
      <c r="B2" s="68" t="s">
        <v>1</v>
      </c>
      <c r="C2" s="68" t="s">
        <v>2</v>
      </c>
      <c r="D2" s="68" t="s">
        <v>3</v>
      </c>
      <c r="E2" s="68" t="s">
        <v>4</v>
      </c>
      <c r="F2" s="68" t="s">
        <v>5</v>
      </c>
      <c r="G2" s="68" t="s">
        <v>6</v>
      </c>
      <c r="H2" s="68" t="s">
        <v>7</v>
      </c>
      <c r="I2" s="68" t="s">
        <v>8</v>
      </c>
      <c r="J2" s="68" t="s">
        <v>9</v>
      </c>
      <c r="K2" s="68" t="s">
        <v>10</v>
      </c>
      <c r="L2" s="68" t="s">
        <v>11</v>
      </c>
      <c r="M2" s="68" t="s">
        <v>12</v>
      </c>
      <c r="N2" s="68" t="s">
        <v>13</v>
      </c>
      <c r="O2" s="68" t="s">
        <v>14</v>
      </c>
      <c r="P2" s="68" t="s">
        <v>15</v>
      </c>
      <c r="Q2" s="68" t="s">
        <v>16</v>
      </c>
      <c r="R2" s="68" t="s">
        <v>17</v>
      </c>
      <c r="S2" s="68" t="s">
        <v>18</v>
      </c>
      <c r="T2" s="68" t="s">
        <v>19</v>
      </c>
      <c r="U2" s="68" t="s">
        <v>20</v>
      </c>
      <c r="V2" s="68" t="s">
        <v>21</v>
      </c>
      <c r="W2" s="68" t="s">
        <v>22</v>
      </c>
      <c r="X2" s="68" t="s">
        <v>23</v>
      </c>
      <c r="Y2" s="68" t="s">
        <v>24</v>
      </c>
    </row>
    <row r="3" spans="1:26" ht="20.100000000000001" customHeight="1" x14ac:dyDescent="0.2">
      <c r="A3" s="68" t="str">
        <f>B2</f>
        <v>JPR</v>
      </c>
      <c r="B3" s="15"/>
      <c r="C3" s="11">
        <v>3.8310185185185183E-3</v>
      </c>
      <c r="D3" s="12">
        <f>C3+D4</f>
        <v>6.5277777777777782E-3</v>
      </c>
      <c r="E3" s="12">
        <f>C3+D4+E5</f>
        <v>8.726851851851852E-3</v>
      </c>
      <c r="F3" s="12">
        <f>C3+D4+E5+F6</f>
        <v>1.0532407407407407E-2</v>
      </c>
      <c r="G3" s="12">
        <f>C3+D4+E5+F6+G7</f>
        <v>1.2986111111111111E-2</v>
      </c>
      <c r="H3" s="12">
        <f>C3+D4+E5+F6+G7+H8</f>
        <v>1.4733796296296297E-2</v>
      </c>
      <c r="I3" s="12">
        <f>C3+D4+E5+F6+G7+H8+I9</f>
        <v>1.6828703703703703E-2</v>
      </c>
      <c r="J3" s="12">
        <f>C3+D4+E5+F6+G7+H8+I9+J10</f>
        <v>1.8240740740740741E-2</v>
      </c>
      <c r="K3" s="12">
        <f>C3+D4+E5+F6+G7+H8+I9+J10+K11</f>
        <v>1.9606481481481482E-2</v>
      </c>
      <c r="L3" s="12">
        <f>C3+D4+E5+F6+G7+H8+I9+J10+K11+L12</f>
        <v>2.1574074074074075E-2</v>
      </c>
      <c r="M3" s="12">
        <f>C3+D4+E5+F6+G7+H8+I9+J10+K11+L12+M13</f>
        <v>2.3125E-2</v>
      </c>
      <c r="N3" s="12">
        <f>C3+D4+E5+F6+G7+H8+I9+J10+K11+L12+M13+N14</f>
        <v>2.4652777777777777E-2</v>
      </c>
      <c r="O3" s="12">
        <f>C3+D4+E5+F6+G7+H8+I9+J10+K11+L12+M13+N14+O15</f>
        <v>2.6620370370370371E-2</v>
      </c>
      <c r="P3" s="12">
        <f>C3+D4+E5+F6+G7+H8+I9+J10+K11+L12+M13+N14+O15+P16</f>
        <v>2.841435185185185E-2</v>
      </c>
      <c r="Q3" s="12">
        <f>C3+D4+E5+F6+G7+H8+I9+J10+K11+L12+M13+N14+O15+P16+Q17</f>
        <v>2.9988425925925925E-2</v>
      </c>
      <c r="R3" s="12">
        <f>C3+D4+E5+F6+G7+H8+I9+J10+K11+L12+M13+N14+O15+P16+Q17+R18</f>
        <v>3.1400462962962963E-2</v>
      </c>
      <c r="S3" s="12">
        <f>C3+D4+E5+F6+G7+H8+I9+J10+K11+L12+M13+N14+O15+P16+Q17+R18+S19</f>
        <v>3.3101851851851855E-2</v>
      </c>
      <c r="T3" s="12">
        <f>C3+D4+E5+F6+G7+H8+I9+J10+K11+L12+M13+N14+O15+P16+Q17+R18+S19+T20</f>
        <v>3.4907407407407408E-2</v>
      </c>
      <c r="U3" s="12">
        <f>C3+D4+E5+F6+G7+H8+I9+J10+K11+L12+M13+N14+O15+P16+Q17+R18+S19+T20+U21</f>
        <v>3.7499999999999999E-2</v>
      </c>
      <c r="V3" s="10">
        <f>C3+D4+E5+F6+G7+H8+I9+J10+K11+L12+M13+N14+O15+P16+Q17+R18+S19+T20+U21+V22</f>
        <v>3.9432870370370368E-2</v>
      </c>
      <c r="W3" s="10">
        <f>C3+D4+E5+F6+G7+H8+I9+J10+K11+L12+M13+N14+O15+P16+Q17+R18+S19+T20+U21+V22+W23</f>
        <v>4.0729166666666664E-2</v>
      </c>
      <c r="X3" s="10">
        <f>C3+D4+E5+F6+G7+H8+I9+J10+K11+L12+M13+N14+O15+P16+Q17+R18+S19+T20+U21+V22+W23+X24</f>
        <v>4.3124999999999997E-2</v>
      </c>
      <c r="Y3" s="10">
        <f>C3+D4+E5+F6+G7+H8+I9+J10+K11+L12+M13+N14+O15+P16+Q17+R18+S19+T20+U21+V22+W23+X24+Y25</f>
        <v>4.5347222222222219E-2</v>
      </c>
      <c r="Z3" s="91" t="s">
        <v>117</v>
      </c>
    </row>
    <row r="4" spans="1:26" ht="20.100000000000001" customHeight="1" x14ac:dyDescent="0.2">
      <c r="A4" s="68" t="str">
        <f>C2</f>
        <v>BFU</v>
      </c>
      <c r="B4" s="13">
        <v>4.1666666666666666E-3</v>
      </c>
      <c r="C4" s="15"/>
      <c r="D4" s="11">
        <v>2.6967592592592594E-3</v>
      </c>
      <c r="E4" s="12">
        <f>D4+E5</f>
        <v>4.8958333333333336E-3</v>
      </c>
      <c r="F4" s="12">
        <f>D4+E5+F6</f>
        <v>6.7013888888888895E-3</v>
      </c>
      <c r="G4" s="12">
        <f>D4+E5+F6+G7</f>
        <v>9.1550925925925931E-3</v>
      </c>
      <c r="H4" s="12">
        <f>D4+E5+F6+G7+H8</f>
        <v>1.0902777777777779E-2</v>
      </c>
      <c r="I4" s="12">
        <f>D4+E5+F6+G7+H8+I9</f>
        <v>1.2997685185185185E-2</v>
      </c>
      <c r="J4" s="12">
        <f>D4+E5+F6+G7+H8+I9+J10</f>
        <v>1.4409722222222221E-2</v>
      </c>
      <c r="K4" s="12">
        <f>D4+E5+F6+G7+H8+I9+J10+K11</f>
        <v>1.5775462962962963E-2</v>
      </c>
      <c r="L4" s="12">
        <f>D4+E5+F6+G7+H8+I9+J10+K11+L12</f>
        <v>1.7743055555555557E-2</v>
      </c>
      <c r="M4" s="12">
        <f>D4+E5+F6+G7+H8+I9+J10+K11+L12+M13</f>
        <v>1.9293981481481481E-2</v>
      </c>
      <c r="N4" s="12">
        <f>D4+E5+F6+G7+H8+I9+J10+K11+L12+M13+N14</f>
        <v>2.0821759259259259E-2</v>
      </c>
      <c r="O4" s="12">
        <f>D4+E5+F6+G7+H8+I9+J10+K11+L12+M13+N14+O15</f>
        <v>2.2789351851851852E-2</v>
      </c>
      <c r="P4" s="12">
        <f>D4+E5+F6+G7+H8+I9+J10+K11+L12+M13+N14+O15+P16</f>
        <v>2.4583333333333332E-2</v>
      </c>
      <c r="Q4" s="12">
        <f>D4+E5+F6+G7+H8+I9+J10+K11+L12+M13+N14+O15+P16+Q17</f>
        <v>2.6157407407407407E-2</v>
      </c>
      <c r="R4" s="12">
        <f>D4+E5+F6+G7+H8+I9+J10+K11+L12+M13+N14+O15+P16+Q17+R18</f>
        <v>2.7569444444444445E-2</v>
      </c>
      <c r="S4" s="12">
        <f>D4+E5+F6+G7+H8+I9+J10+K11+L12+M13+N14+O15+P16+Q17+R18+S19</f>
        <v>2.9270833333333333E-2</v>
      </c>
      <c r="T4" s="12">
        <f>D4+E5+F6+G7+H8+I9+J10+K11+L12+M13+N14+O15+P16+Q17+R18+S19+T20</f>
        <v>3.107638888888889E-2</v>
      </c>
      <c r="U4" s="12">
        <f>D4+E5+F6+G7+H8+I9+J10+K11+L12+M13+N14+O15+P16+Q17+R18+S19+T20+U21</f>
        <v>3.366898148148148E-2</v>
      </c>
      <c r="V4" s="10">
        <f>D4+E5+F6+G7+H8+I9+J10+K11+L12+M13+N14+O15+P16+Q17+R18+S19+T20+U21+V22</f>
        <v>3.560185185185185E-2</v>
      </c>
      <c r="W4" s="10">
        <f>D4+E5+F6+G7+H8+I9+J10+K11+L12+M13+N14+O15+P16+Q17+R18+S19+T20+U21+V22+W23</f>
        <v>3.6898148148148145E-2</v>
      </c>
      <c r="X4" s="10">
        <f>D4+E5+F6+G7+H8+I9+J10+K11+L12+M13+N14+O15+P16+Q17+R18+S19+T20+U21+V22+W23+X24</f>
        <v>3.9293981481481478E-2</v>
      </c>
      <c r="Y4" s="10">
        <f>D4+E5+F6+G7+H8+I9+J10+K11+L12+M13+N14+O15+P16+Q17+R18+S19+T20+U21+V22+W23+X24+Y25</f>
        <v>4.1516203703703701E-2</v>
      </c>
      <c r="Z4" s="80">
        <v>3.4722222222222224E-4</v>
      </c>
    </row>
    <row r="5" spans="1:26" ht="20.100000000000001" customHeight="1" x14ac:dyDescent="0.2">
      <c r="A5" s="68" t="str">
        <f>D2</f>
        <v>LAB</v>
      </c>
      <c r="B5" s="14">
        <f>B4+C5</f>
        <v>6.8634259259259256E-3</v>
      </c>
      <c r="C5" s="13">
        <v>2.6967592592592594E-3</v>
      </c>
      <c r="D5" s="15"/>
      <c r="E5" s="11">
        <v>2.1990740740740742E-3</v>
      </c>
      <c r="F5" s="12">
        <f>E5+F6</f>
        <v>4.0046296296296297E-3</v>
      </c>
      <c r="G5" s="12">
        <f>E5+F6+G7</f>
        <v>6.4583333333333333E-3</v>
      </c>
      <c r="H5" s="12">
        <f>E5+F6+G7+H8</f>
        <v>8.2060185185185187E-3</v>
      </c>
      <c r="I5" s="12">
        <f>E5+F6+G7+H8+I9</f>
        <v>1.0300925925925925E-2</v>
      </c>
      <c r="J5" s="12">
        <f>E5+F6+G7+H8+I9+J10</f>
        <v>1.1712962962962961E-2</v>
      </c>
      <c r="K5" s="12">
        <f>E5+F6+G7+H8+I9+J10+K11</f>
        <v>1.3078703703703702E-2</v>
      </c>
      <c r="L5" s="12">
        <f>E5+F6+G7+H8+I9+J10+K11+L12</f>
        <v>1.5046296296296294E-2</v>
      </c>
      <c r="M5" s="12">
        <f>E5+F6+G7+H8+I9+J10+K11+L12+M13</f>
        <v>1.6597222222222222E-2</v>
      </c>
      <c r="N5" s="12">
        <f>E5+F6+G7+H8+I9+J10+K11+L12+M13+N14</f>
        <v>1.8124999999999999E-2</v>
      </c>
      <c r="O5" s="12">
        <f>E5+F6+G7+H8+I9+J10+K11+L12+M13+N14+O15</f>
        <v>2.0092592592592592E-2</v>
      </c>
      <c r="P5" s="12">
        <f>E5+F6+G7+H8+I9+J10+K11+L12+M13+N14+O15+P16</f>
        <v>2.1886574074074072E-2</v>
      </c>
      <c r="Q5" s="12">
        <f>E5+F6+G7+H8+I9+J10+K11+L12+M13+N14+O15+P16+Q17</f>
        <v>2.3460648148148147E-2</v>
      </c>
      <c r="R5" s="12">
        <f>E5+F6+G7+H8+I9+J10+K11+L12+M13+N14+O15+P16+Q17+R18</f>
        <v>2.4872685185185185E-2</v>
      </c>
      <c r="S5" s="12">
        <f>E5+F6+G7+H8+I9+J10+K11+L12+M13+N14+O15+P16+Q17+R18+S19</f>
        <v>2.6574074074074073E-2</v>
      </c>
      <c r="T5" s="12">
        <f>E5+F6+G7+H8+I9+J10+K11+L12+M13+N14+O15+P16+Q17+R18+S19+T20</f>
        <v>2.837962962962963E-2</v>
      </c>
      <c r="U5" s="12">
        <f>E5+F6+G7+H8+I9+J10+K11+L12+M13+N14+O15+P16+Q17+R18+S19+T20+U21</f>
        <v>3.097222222222222E-2</v>
      </c>
      <c r="V5" s="10">
        <f>E5+F6+G7+H8+I9+J10+K11+L12+M13+N14+O15+P16+Q17+R18+S19+T20+U21+V22</f>
        <v>3.290509259259259E-2</v>
      </c>
      <c r="W5" s="10">
        <f>E5+F6+G7+H8+I9+J10+K11+L12+M13+N14+O15+P16+Q17+R18+S19+T20+U21+V22+W23</f>
        <v>3.4201388888888885E-2</v>
      </c>
      <c r="X5" s="10">
        <f>E5+F6+G7+H8+I9+J10+K11+L12+M13+N14+O15+P16+Q17+R18+S19+T20+U21+V22+W23+X24</f>
        <v>3.6597222222222218E-2</v>
      </c>
      <c r="Y5" s="10">
        <f>E5+F6+G7+H8+I9+J10+K11+L12+M13+N14+O15+P16+Q17+R18+S19+T20+U21+V22+W23+X24+Y25</f>
        <v>3.8819444444444441E-2</v>
      </c>
      <c r="Z5" s="80">
        <v>3.4722222222222224E-4</v>
      </c>
    </row>
    <row r="6" spans="1:26" ht="20.100000000000001" customHeight="1" x14ac:dyDescent="0.2">
      <c r="A6" s="68" t="str">
        <f>E2</f>
        <v>DMO</v>
      </c>
      <c r="B6" s="14">
        <f>B4+C5+D6</f>
        <v>9.0624999999999994E-3</v>
      </c>
      <c r="C6" s="14">
        <f>C5+D6</f>
        <v>4.8958333333333336E-3</v>
      </c>
      <c r="D6" s="13">
        <v>2.1990740740740742E-3</v>
      </c>
      <c r="E6" s="15"/>
      <c r="F6" s="11">
        <v>1.8055555555555557E-3</v>
      </c>
      <c r="G6" s="12">
        <f>F6+G7</f>
        <v>4.2592592592592595E-3</v>
      </c>
      <c r="H6" s="12">
        <f>F6+G7+H8</f>
        <v>6.006944444444445E-3</v>
      </c>
      <c r="I6" s="12">
        <f>F6+G7+H8+I9</f>
        <v>8.1018518518518531E-3</v>
      </c>
      <c r="J6" s="12">
        <f>F6+G7+H8+I9+J10</f>
        <v>9.5138888888888894E-3</v>
      </c>
      <c r="K6" s="12">
        <f>F6+G7+H8+I9+J10+K11</f>
        <v>1.087962962962963E-2</v>
      </c>
      <c r="L6" s="12">
        <f>F6+G7+H8+I9+J10+K11+L12</f>
        <v>1.2847222222222222E-2</v>
      </c>
      <c r="M6" s="12">
        <f>F6+G7+H8+I9+J10+K11+L12+M13</f>
        <v>1.4398148148148148E-2</v>
      </c>
      <c r="N6" s="12">
        <f>F6+G7+H8+I9+J10+K11+L12+M13+N14</f>
        <v>1.5925925925925927E-2</v>
      </c>
      <c r="O6" s="12">
        <f>F6+G7+H8+I9+J10+K11+L12+M13+N14+O15</f>
        <v>1.789351851851852E-2</v>
      </c>
      <c r="P6" s="12">
        <f>F6+G7+H8+I9+J10+K11+L12+M13+N14+O15+P16</f>
        <v>1.9687500000000004E-2</v>
      </c>
      <c r="Q6" s="12">
        <f>F6+G7+H8+I9+J10+K11+L12+M13+N14+O15+P16+Q17</f>
        <v>2.1261574074074079E-2</v>
      </c>
      <c r="R6" s="12">
        <f>F6+G7+H8+I9+J10+K11+L12+M13+N14+O15+P16+Q17+R18</f>
        <v>2.2673611111111117E-2</v>
      </c>
      <c r="S6" s="12">
        <f>F6+G7+H8+I9+J10+K11+L12+M13+N14+O15+P16+Q17+R18+S19</f>
        <v>2.4375000000000004E-2</v>
      </c>
      <c r="T6" s="12">
        <f>F6+G7+H8+I9+J10+K11+L12+M13+N14+O15+P16+Q17+R18+S19+T20</f>
        <v>2.6180555555555561E-2</v>
      </c>
      <c r="U6" s="12">
        <f>F6+G7+H8+I9+J10+K11+L12+M13+N14+O15+P16+Q17+R18+S19+T20+U21</f>
        <v>2.8773148148148152E-2</v>
      </c>
      <c r="V6" s="10">
        <f>F6+G7+H8+I9+J10+K11+L12+M13+N14+O15+P16+Q17+R18+S19+T20+U21+V22</f>
        <v>3.0706018518518521E-2</v>
      </c>
      <c r="W6" s="10">
        <f>F6+G7+H8+I9+J10+K11+L12+M13+N14+O15+P16+Q17+R18+S19+T20+U21+V22+W23</f>
        <v>3.2002314814814817E-2</v>
      </c>
      <c r="X6" s="10">
        <f>F6+G7+H8+I9+J10+K11+L12+M13+N14+O15+P16+Q17+R18+S19+T20+U21+V22+W23+X24</f>
        <v>3.439814814814815E-2</v>
      </c>
      <c r="Y6" s="10">
        <f>F6+G7+H8+I9+J10+K11+L12+M13+N14+O15+P16+Q17+R18+S19+T20+U21+V22+W23+X24+Y25</f>
        <v>3.6620370370370373E-2</v>
      </c>
      <c r="Z6" s="80">
        <v>3.4722222222222224E-4</v>
      </c>
    </row>
    <row r="7" spans="1:26" ht="20.100000000000001" customHeight="1" x14ac:dyDescent="0.2">
      <c r="A7" s="68" t="str">
        <f>F2</f>
        <v>ILE</v>
      </c>
      <c r="B7" s="14">
        <f>B4+C5+D6+E7</f>
        <v>1.0868055555555554E-2</v>
      </c>
      <c r="C7" s="14">
        <f>C5+D6+E7</f>
        <v>6.7013888888888895E-3</v>
      </c>
      <c r="D7" s="14">
        <f>D6+E7</f>
        <v>4.0046296296296297E-3</v>
      </c>
      <c r="E7" s="13">
        <v>1.8055555555555557E-3</v>
      </c>
      <c r="F7" s="15"/>
      <c r="G7" s="11">
        <v>2.4537037037037036E-3</v>
      </c>
      <c r="H7" s="12">
        <f>G7+H8</f>
        <v>4.2013888888888891E-3</v>
      </c>
      <c r="I7" s="12">
        <f>G7+H8+I9</f>
        <v>6.2962962962962964E-3</v>
      </c>
      <c r="J7" s="12">
        <f>G7+H8+I9+J10</f>
        <v>7.7083333333333335E-3</v>
      </c>
      <c r="K7" s="12">
        <f>G7+H8+I9+J10+K11</f>
        <v>9.0740740740740747E-3</v>
      </c>
      <c r="L7" s="12">
        <f>G7+H8+I9+J10+K11+L12</f>
        <v>1.1041666666666668E-2</v>
      </c>
      <c r="M7" s="12">
        <f>G7+H8+I9+J10+K11+L12+M13</f>
        <v>1.2592592592592594E-2</v>
      </c>
      <c r="N7" s="12">
        <f>G7+H8+I9+J10+K11+L12+M13+N14</f>
        <v>1.4120370370370372E-2</v>
      </c>
      <c r="O7" s="12">
        <f>G7+H8+I9+J10+K11+L12+M13+N14+O15</f>
        <v>1.6087962962962964E-2</v>
      </c>
      <c r="P7" s="12">
        <f>G7+H8+I9+J10+K11+L12+M13+N14+O15+P16</f>
        <v>1.7881944444444443E-2</v>
      </c>
      <c r="Q7" s="12">
        <f>G7+H8+I9+J10+K11+L12+M13+N14+O15+P16+Q17</f>
        <v>1.9456018518518518E-2</v>
      </c>
      <c r="R7" s="12">
        <f>G7+H8+I9+J10+K11+L12+M13+N14+O15+P16+Q17+R18</f>
        <v>2.0868055555555556E-2</v>
      </c>
      <c r="S7" s="12">
        <f>G7+H8+I9+J10+K11+L12+M13+N14+O15+P16+Q17+R18+S19</f>
        <v>2.2569444444444444E-2</v>
      </c>
      <c r="T7" s="12">
        <f>G7+H8+I9+J10+K11+L12+M13+N14+O15+P16+Q17+R18+S19+T20</f>
        <v>2.4375000000000001E-2</v>
      </c>
      <c r="U7" s="12">
        <f>G7+H8+I9+J10+K11+L12+M13+N14+O15+P16+Q17+R18+S19+T20+U21</f>
        <v>2.6967592592592592E-2</v>
      </c>
      <c r="V7" s="10">
        <f>G7+H8+I9+J10+K11+L12+M13+N14+O15+P16+Q17+R18+S19+T20+U21+V22</f>
        <v>2.8900462962962961E-2</v>
      </c>
      <c r="W7" s="10">
        <f>G7+H8+I9+J10+K11+L12+M13+N14+O15+P16+Q17+R18+S19+T20+U21+V22+W23</f>
        <v>3.0196759259259257E-2</v>
      </c>
      <c r="X7" s="10">
        <f>G7+H8+I9+J10+K11+L12+M13+N14+O15+P16+Q17+R18+S19+T20+U21+V22+W23+X24</f>
        <v>3.259259259259259E-2</v>
      </c>
      <c r="Y7" s="10">
        <f>G7+H8+I9+J10+K11+L12+M13+N14+O15+P16+Q17+R18+S19+T20+U21+V22+W23+X24+Y25</f>
        <v>3.4814814814814812E-2</v>
      </c>
      <c r="Z7" s="80">
        <v>3.4722222222222224E-4</v>
      </c>
    </row>
    <row r="8" spans="1:26" ht="20.100000000000001" customHeight="1" x14ac:dyDescent="0.2">
      <c r="A8" s="68" t="str">
        <f>G2</f>
        <v>PAL</v>
      </c>
      <c r="B8" s="14">
        <f>B4+C5+D6+E7+F8</f>
        <v>1.3321759259259259E-2</v>
      </c>
      <c r="C8" s="14">
        <f>C5+D6+E7+F8</f>
        <v>9.1550925925925931E-3</v>
      </c>
      <c r="D8" s="14">
        <f>D6+E7+F8</f>
        <v>6.4583333333333333E-3</v>
      </c>
      <c r="E8" s="14">
        <f>E7+F8</f>
        <v>4.2592592592592595E-3</v>
      </c>
      <c r="F8" s="13">
        <v>2.4537037037037036E-3</v>
      </c>
      <c r="G8" s="15"/>
      <c r="H8" s="11">
        <v>1.7476851851851852E-3</v>
      </c>
      <c r="I8" s="12">
        <f>H8+I9</f>
        <v>3.8425925925925928E-3</v>
      </c>
      <c r="J8" s="12">
        <f>H8+I9+J10</f>
        <v>5.2546296296296299E-3</v>
      </c>
      <c r="K8" s="12">
        <f>H8+I9+J10+K11</f>
        <v>6.6203703703703711E-3</v>
      </c>
      <c r="L8" s="12">
        <f>H8+I9+J10+K11+L12</f>
        <v>8.5879629629629639E-3</v>
      </c>
      <c r="M8" s="12">
        <f>H8+I9+J10+K11+L12+M13</f>
        <v>1.013888888888889E-2</v>
      </c>
      <c r="N8" s="12">
        <f>H8+I9+J10+K11+L12+M13+N14</f>
        <v>1.1666666666666667E-2</v>
      </c>
      <c r="O8" s="12">
        <f>H8+I9+J10+K11+L12+M13+N14+O15</f>
        <v>1.3634259259259259E-2</v>
      </c>
      <c r="P8" s="12">
        <f>H8+I9+J10+K11+L12+M13+N14+O15+P16</f>
        <v>1.5428240740740741E-2</v>
      </c>
      <c r="Q8" s="12">
        <f>H8+I9+J10+K11+L12+M13+N14+O15+P16+Q17</f>
        <v>1.7002314814814814E-2</v>
      </c>
      <c r="R8" s="12">
        <f>+H8+I9+J10+K11+L12+M13+N14+O15+P16+Q17+R18</f>
        <v>1.8414351851851852E-2</v>
      </c>
      <c r="S8" s="12">
        <f>H8+I9+J10+K11+L12+M13+N14+O15+P16+Q17+R18+S19</f>
        <v>2.011574074074074E-2</v>
      </c>
      <c r="T8" s="12">
        <f>H8+I9+J10+K11+L12+M13+N14+O15+P16+Q17+R18+S19+T20</f>
        <v>2.1921296296296296E-2</v>
      </c>
      <c r="U8" s="12">
        <f>H8+I9+J10+K11+L12+M13+N14+O15+P16+Q17+R18+S19+T20+U21</f>
        <v>2.4513888888888891E-2</v>
      </c>
      <c r="V8" s="10">
        <f>H8+I9+J10+K11+L12+M13+N14+O15+P16+Q17+R18+S19+T20+U21+V22</f>
        <v>2.644675925925926E-2</v>
      </c>
      <c r="W8" s="10">
        <f>H8+I9+J10+K11+L12+M13+N14+O15+P16+Q17+R18+S19+T20+U21+V22+W23</f>
        <v>2.7743055555555556E-2</v>
      </c>
      <c r="X8" s="10">
        <f>H8+I9+J10+K11+L12+M13+N14+O15+P16+Q17+R18+S19+T20+U21+V22+W23+X24</f>
        <v>3.0138888888888889E-2</v>
      </c>
      <c r="Y8" s="10">
        <f>H8+I9+J10+K11+L12+M13+N14+O15+P16+Q17+R18+S19+T20+U21+V22+W23+X24+Y25</f>
        <v>3.2361111111111111E-2</v>
      </c>
      <c r="Z8" s="80">
        <v>3.4722222222222224E-4</v>
      </c>
    </row>
    <row r="9" spans="1:26" ht="20.100000000000001" customHeight="1" x14ac:dyDescent="0.2">
      <c r="A9" s="68" t="str">
        <f>H2</f>
        <v>OSA</v>
      </c>
      <c r="B9" s="14">
        <f>B4+C5+D6+E7+F8+G9</f>
        <v>1.5069444444444444E-2</v>
      </c>
      <c r="C9" s="14">
        <f>C5+D6+E7+F8+G9</f>
        <v>1.0902777777777779E-2</v>
      </c>
      <c r="D9" s="14">
        <f>D6+E7+F8+G9</f>
        <v>8.2060185185185187E-3</v>
      </c>
      <c r="E9" s="14">
        <f>E7+F8+G9</f>
        <v>6.006944444444445E-3</v>
      </c>
      <c r="F9" s="14">
        <f>F8+G9</f>
        <v>4.2013888888888891E-3</v>
      </c>
      <c r="G9" s="13">
        <v>1.7476851851851852E-3</v>
      </c>
      <c r="H9" s="15"/>
      <c r="I9" s="11">
        <v>2.0949074074074073E-3</v>
      </c>
      <c r="J9" s="12">
        <f>I9+J10</f>
        <v>3.5069444444444445E-3</v>
      </c>
      <c r="K9" s="12">
        <f>I9+J10+K11</f>
        <v>4.8726851851851856E-3</v>
      </c>
      <c r="L9" s="12">
        <f>I9+J10+K11+L12</f>
        <v>6.8402777777777785E-3</v>
      </c>
      <c r="M9" s="12">
        <f>I9+J10+K11+L12+M13</f>
        <v>8.3912037037037045E-3</v>
      </c>
      <c r="N9" s="12">
        <f>I9+J10+K11+L12+M13+N14</f>
        <v>9.9189814814814817E-3</v>
      </c>
      <c r="O9" s="12">
        <f>I9+J10+K11+L12+M13+N14+O15</f>
        <v>1.1886574074074074E-2</v>
      </c>
      <c r="P9" s="12">
        <f>I9+J10+K11+L12+M13+N14+O15+P16</f>
        <v>1.3680555555555555E-2</v>
      </c>
      <c r="Q9" s="12">
        <f>+I9+J10+K11+L12+M13+N14+O15+P16+Q17</f>
        <v>1.5254629629629628E-2</v>
      </c>
      <c r="R9" s="12">
        <f>I9+J10+K11+L12+M13+N14+O15+P16+Q17+R18</f>
        <v>1.6666666666666666E-2</v>
      </c>
      <c r="S9" s="12">
        <f>I9+J10+K11+L12+M13+N14+O15+P16+Q17+R18+S19</f>
        <v>1.8368055555555554E-2</v>
      </c>
      <c r="T9" s="12">
        <f>I9+J10+K11+L12+M13+N14+O15+P16+Q17+R18+S19+T20</f>
        <v>2.0173611111111111E-2</v>
      </c>
      <c r="U9" s="12">
        <f>I9+J10+K11+L12+M13+N14+O15+P16+Q17+R18+S19+T20+U21</f>
        <v>2.2766203703703705E-2</v>
      </c>
      <c r="V9" s="10">
        <f>I9+J10+K11+L12+M13+N14+O15+P16+Q17+R18+S19+T20+U21+V22</f>
        <v>2.4699074074074075E-2</v>
      </c>
      <c r="W9" s="10">
        <f>I9+J10+K11+L12+M13+N14+O15+P16+Q17+R18+S19+T20+U21+V22+W23</f>
        <v>2.599537037037037E-2</v>
      </c>
      <c r="X9" s="10">
        <f>I9+J10+K11+L12+M13+N14+O15+P16+Q17+R18+S19+T20+U21+V22+W23+X24</f>
        <v>2.8391203703703703E-2</v>
      </c>
      <c r="Y9" s="10">
        <f>I9+J10+K11+L12+M13+N14+O15+P16+Q17+R18+S19+T20+U21+V22+W23+X24+Y25</f>
        <v>3.0613425925925926E-2</v>
      </c>
      <c r="Z9" s="80">
        <v>3.4722222222222224E-4</v>
      </c>
    </row>
    <row r="10" spans="1:26" ht="20.100000000000001" customHeight="1" x14ac:dyDescent="0.2">
      <c r="A10" s="68" t="str">
        <f>I2</f>
        <v>CSA</v>
      </c>
      <c r="B10" s="14">
        <f>B4+C5+D6+E7+F8+G9+H10</f>
        <v>1.7164351851851851E-2</v>
      </c>
      <c r="C10" s="14">
        <f>C5+D6+E7+F8+G9+H10</f>
        <v>1.2997685185185185E-2</v>
      </c>
      <c r="D10" s="14">
        <f>D6+E7+F8+G9+H10</f>
        <v>1.0300925925925925E-2</v>
      </c>
      <c r="E10" s="14">
        <f>E7+F8+G9+H10</f>
        <v>8.1018518518518531E-3</v>
      </c>
      <c r="F10" s="14">
        <f>F8+G9+H10</f>
        <v>6.2962962962962964E-3</v>
      </c>
      <c r="G10" s="14">
        <f>G9+H10</f>
        <v>3.8425925925925928E-3</v>
      </c>
      <c r="H10" s="13">
        <v>2.0949074074074073E-3</v>
      </c>
      <c r="I10" s="15"/>
      <c r="J10" s="11">
        <v>1.4120370370370369E-3</v>
      </c>
      <c r="K10" s="12">
        <f>J10+K11</f>
        <v>2.7777777777777779E-3</v>
      </c>
      <c r="L10" s="12">
        <f>J10+K11+L12</f>
        <v>4.7453703703703703E-3</v>
      </c>
      <c r="M10" s="12">
        <f>J10+K11+L12+M13</f>
        <v>6.2962962962962964E-3</v>
      </c>
      <c r="N10" s="12">
        <f>J10+K11+L12+M13+N14</f>
        <v>7.8240740740740736E-3</v>
      </c>
      <c r="O10" s="12">
        <f>J10+K11+L12+M13+N14+O15</f>
        <v>9.7916666666666673E-3</v>
      </c>
      <c r="P10" s="12">
        <f>J10+K11+L12+M13+N14+O15+P16</f>
        <v>1.1585648148148149E-2</v>
      </c>
      <c r="Q10" s="12">
        <f>J10+K11+L12+M13+N14+O15+P16+Q17</f>
        <v>1.3159722222222222E-2</v>
      </c>
      <c r="R10" s="12">
        <f>+J10+K11+L12+M13+N14+O15+P16+Q17+R18</f>
        <v>1.4571759259259258E-2</v>
      </c>
      <c r="S10" s="12">
        <f>J10+K11+L12+M13+N14+O15+P16+Q17+R18+S19</f>
        <v>1.6273148148148148E-2</v>
      </c>
      <c r="T10" s="12">
        <f>J10+K11+L12+M13+N14+O15+P16+Q17+R18+S19+T20</f>
        <v>1.8078703703703704E-2</v>
      </c>
      <c r="U10" s="12">
        <f>J10+K11+L12+M13+N14+O15+P16+Q17+R18+S19+T20+U21</f>
        <v>2.0671296296296299E-2</v>
      </c>
      <c r="V10" s="10">
        <f>J10+K11+L12+M13+N14+O15+P16+Q17+R18+S19+T20+U21+V22</f>
        <v>2.2604166666666668E-2</v>
      </c>
      <c r="W10" s="10">
        <f>J10+K11+L12+M13+N14+O15+P16+Q17+R18+S19+T20+U21+V22+W23</f>
        <v>2.3900462962962964E-2</v>
      </c>
      <c r="X10" s="10">
        <f>J10+K11+L12+M13+N14+O15+P16+Q17+R18+S19+T20+U21+V22+W23+X24</f>
        <v>2.6296296296296297E-2</v>
      </c>
      <c r="Y10" s="10">
        <f>J10+K11+L12+M13+N14+O15+P16+Q17+R18+S19+T20+U21+V22+W23+X24+Y25</f>
        <v>2.8518518518518519E-2</v>
      </c>
      <c r="Z10" s="80">
        <v>3.4722222222222224E-4</v>
      </c>
    </row>
    <row r="11" spans="1:26" ht="20.100000000000001" customHeight="1" x14ac:dyDescent="0.2">
      <c r="A11" s="68" t="str">
        <f>J2</f>
        <v>QTU</v>
      </c>
      <c r="B11" s="14">
        <f>B4+C5+D6+E7+F8+G9+H10+I11</f>
        <v>1.8576388888888889E-2</v>
      </c>
      <c r="C11" s="14">
        <f>C5+D6+E7+F8+G9+H10+I11</f>
        <v>1.4409722222222221E-2</v>
      </c>
      <c r="D11" s="14">
        <f>D6+E7+F8+G9+H10+I11</f>
        <v>1.1712962962962961E-2</v>
      </c>
      <c r="E11" s="14">
        <f>+E7+F8+G9+H10+I11</f>
        <v>9.5138888888888894E-3</v>
      </c>
      <c r="F11" s="14">
        <f>F8+G9+H10+I11</f>
        <v>7.7083333333333335E-3</v>
      </c>
      <c r="G11" s="14">
        <f>G9+H10+I11</f>
        <v>5.2546296296296299E-3</v>
      </c>
      <c r="H11" s="14">
        <f>H10+I11</f>
        <v>3.5069444444444445E-3</v>
      </c>
      <c r="I11" s="13">
        <v>1.4120370370370369E-3</v>
      </c>
      <c r="J11" s="15"/>
      <c r="K11" s="11">
        <v>1.3657407407407409E-3</v>
      </c>
      <c r="L11" s="12">
        <f>K11+L12</f>
        <v>3.333333333333334E-3</v>
      </c>
      <c r="M11" s="12">
        <f>K11+L12+M13</f>
        <v>4.8842592592592601E-3</v>
      </c>
      <c r="N11" s="12">
        <f>K11+L12+M13+N14</f>
        <v>6.4120370370370381E-3</v>
      </c>
      <c r="O11" s="12">
        <f>K11+L12+M13+N14+O15</f>
        <v>8.379629629629631E-3</v>
      </c>
      <c r="P11" s="12">
        <f>K11+L12+M13+N14+O15+P16</f>
        <v>1.0173611111111112E-2</v>
      </c>
      <c r="Q11" s="12">
        <f>K11+L12+M13+N14+O15+P16+Q17</f>
        <v>1.1747685185185187E-2</v>
      </c>
      <c r="R11" s="12">
        <f>+K11+L12+M13+N14+O15+P16+Q17+R18</f>
        <v>1.3159722222222224E-2</v>
      </c>
      <c r="S11" s="12">
        <f>K11+L12+M13+N14+O15+P16+Q17+R18+S19</f>
        <v>1.4861111111111113E-2</v>
      </c>
      <c r="T11" s="12">
        <f>K11+L12+M13+N14+O15+P16+Q17+R18+S19+T20</f>
        <v>1.666666666666667E-2</v>
      </c>
      <c r="U11" s="12">
        <f>K11+L12+M13+N14+O15+P16+Q17+R18+S19+T20+U21</f>
        <v>1.9259259259259261E-2</v>
      </c>
      <c r="V11" s="10">
        <f>K11+L12+M13+N14+O15+P16+Q17+R18+S19+T20+U21+V22</f>
        <v>2.119212962962963E-2</v>
      </c>
      <c r="W11" s="10">
        <f>K11+L12+M13+N14+O15+P16+Q17+R18+S19+T20+U21+V22+W23</f>
        <v>2.2488425925925926E-2</v>
      </c>
      <c r="X11" s="10">
        <f>K11+L12+M13+N14+O15+P16+Q17+R18+S19+T20+U21+V22+W23+X24</f>
        <v>2.4884259259259259E-2</v>
      </c>
      <c r="Y11" s="10">
        <f>K11+L12+M13+N14+O15+P16+Q17+R18+S19+T20+U21+V22+W23+X24+Y25</f>
        <v>2.7106481481481481E-2</v>
      </c>
      <c r="Z11" s="80">
        <v>3.4722222222222224E-4</v>
      </c>
    </row>
    <row r="12" spans="1:26" ht="20.100000000000001" customHeight="1" x14ac:dyDescent="0.2">
      <c r="A12" s="68" t="str">
        <f>K2</f>
        <v>GMC</v>
      </c>
      <c r="B12" s="14">
        <f>B4+C5+D6+E7+F8+G9+H10+I11+J12</f>
        <v>1.9965277777777776E-2</v>
      </c>
      <c r="C12" s="14">
        <f>C5+D6+E7+F8+G9+H10+I11+J12</f>
        <v>1.579861111111111E-2</v>
      </c>
      <c r="D12" s="14">
        <f>D6+E7+F8+G9+H10+I11+J12</f>
        <v>1.3101851851851851E-2</v>
      </c>
      <c r="E12" s="14">
        <f>E7+F8+G9+H10+I11+J12</f>
        <v>1.0902777777777779E-2</v>
      </c>
      <c r="F12" s="14">
        <f>F8+G9+H10+I11+J12</f>
        <v>9.0972222222222218E-3</v>
      </c>
      <c r="G12" s="14">
        <f>G9+H10+I11+J12</f>
        <v>6.6435185185185191E-3</v>
      </c>
      <c r="H12" s="14">
        <f>H10+I11+J12</f>
        <v>4.8958333333333336E-3</v>
      </c>
      <c r="I12" s="14">
        <f>I11+J12</f>
        <v>2.8009259259259259E-3</v>
      </c>
      <c r="J12" s="13">
        <v>1.3888888888888889E-3</v>
      </c>
      <c r="K12" s="15"/>
      <c r="L12" s="11">
        <v>1.9675925925925928E-3</v>
      </c>
      <c r="M12" s="12">
        <f>L12+M13</f>
        <v>3.5185185185185189E-3</v>
      </c>
      <c r="N12" s="12">
        <f>L12+M13+N14</f>
        <v>5.046296296296297E-3</v>
      </c>
      <c r="O12" s="12">
        <f>L12+M13+N14+O15</f>
        <v>7.0138888888888898E-3</v>
      </c>
      <c r="P12" s="12">
        <f>L12+M13+N14+O15+P16</f>
        <v>8.8078703703703722E-3</v>
      </c>
      <c r="Q12" s="12">
        <f>+L12+M13+N14+O15+P16+Q17</f>
        <v>1.0381944444444447E-2</v>
      </c>
      <c r="R12" s="12">
        <f>+L12+M13+N14+O15+P16+Q17+R18</f>
        <v>1.1793981481481483E-2</v>
      </c>
      <c r="S12" s="12">
        <f>L12+M13+N14+O15+P16+Q17+R18+S19</f>
        <v>1.3495370370370373E-2</v>
      </c>
      <c r="T12" s="12">
        <f>L12+M13+N14+O15+P16+Q17+R18+S19+T20</f>
        <v>1.5300925925925928E-2</v>
      </c>
      <c r="U12" s="12">
        <f>L12+M13+N14+O15+P16+Q17+R18+S19+T20+U21</f>
        <v>1.789351851851852E-2</v>
      </c>
      <c r="V12" s="10">
        <f>L12+M13+N14+O15+P16+Q17+R18+S19+T20+U21+V22</f>
        <v>1.982638888888889E-2</v>
      </c>
      <c r="W12" s="10">
        <f>L12+M13+N14+O15+P16+Q17+R18+S19+T20+U21+V22+W23</f>
        <v>2.1122685185185185E-2</v>
      </c>
      <c r="X12" s="10">
        <f>L12+M13+N14+O15+P16+Q17+R18+S19+T20+U21+V22+W23+X24</f>
        <v>2.3518518518518518E-2</v>
      </c>
      <c r="Y12" s="10">
        <f>L12+M13+N14+O15+P16+Q17+R18+S19+T20+U21+V22+W23+X24+Y25</f>
        <v>2.5740740740740741E-2</v>
      </c>
      <c r="Z12" s="80">
        <v>3.4722222222222224E-4</v>
      </c>
    </row>
    <row r="13" spans="1:26" ht="20.100000000000001" customHeight="1" x14ac:dyDescent="0.2">
      <c r="A13" s="68" t="str">
        <f>L2</f>
        <v>CPB</v>
      </c>
      <c r="B13" s="14">
        <f>B4+C5+D6+E7+F8+G9+H10+I11+J12+K13</f>
        <v>2.193287037037037E-2</v>
      </c>
      <c r="C13" s="14">
        <f>C5+D6+E7+F8+G9+H10+I11+J12+K13</f>
        <v>1.7766203703703704E-2</v>
      </c>
      <c r="D13" s="14">
        <f>D6+E7+F8+G9+H10+I11+J12+K13</f>
        <v>1.5069444444444444E-2</v>
      </c>
      <c r="E13" s="14">
        <f>E7+F8+G9+H10+I11+J12+K13</f>
        <v>1.2870370370370372E-2</v>
      </c>
      <c r="F13" s="14">
        <f>F8+G9+H10+I11+J12+K13</f>
        <v>1.1064814814814816E-2</v>
      </c>
      <c r="G13" s="14">
        <f>+G9+H10+I11+J12+K13</f>
        <v>8.611111111111111E-3</v>
      </c>
      <c r="H13" s="14">
        <f>H10+I11+J12+K13</f>
        <v>6.8634259259259265E-3</v>
      </c>
      <c r="I13" s="14">
        <f>I11+J12+K13</f>
        <v>4.7685185185185192E-3</v>
      </c>
      <c r="J13" s="14">
        <f>J12+K13</f>
        <v>3.356481481481482E-3</v>
      </c>
      <c r="K13" s="13">
        <v>1.9675925925925928E-3</v>
      </c>
      <c r="L13" s="15"/>
      <c r="M13" s="11">
        <v>1.5509259259259261E-3</v>
      </c>
      <c r="N13" s="12">
        <f>M13+N14</f>
        <v>3.0787037037037042E-3</v>
      </c>
      <c r="O13" s="12">
        <f>M13+N14+O15</f>
        <v>5.046296296296297E-3</v>
      </c>
      <c r="P13" s="12">
        <f>M13+N14+O15+P16</f>
        <v>6.8402777777777785E-3</v>
      </c>
      <c r="Q13" s="12">
        <f>M13+N14+O15+P16+Q17</f>
        <v>8.4143518518518534E-3</v>
      </c>
      <c r="R13" s="12">
        <f>M13+N14+O15+P16+Q17+R18</f>
        <v>9.8263888888888897E-3</v>
      </c>
      <c r="S13" s="12">
        <f>M13+N14+O15+P16+Q17+R18+S19</f>
        <v>1.1527777777777779E-2</v>
      </c>
      <c r="T13" s="12">
        <f>M13+N14+O15+P16+Q17+R18+S19+T20</f>
        <v>1.3333333333333334E-2</v>
      </c>
      <c r="U13" s="12">
        <f>M13+N14+O15+P16+Q17+R18+S19+T20+U21</f>
        <v>1.5925925925925927E-2</v>
      </c>
      <c r="V13" s="10">
        <f>M13+N14+O15+P16+Q17+R18+S19+T20+U21+V22</f>
        <v>1.7858796296296296E-2</v>
      </c>
      <c r="W13" s="10">
        <f>M13+N14+O15+P16+Q17+R18+S19+T20+U21+V22+W23</f>
        <v>1.9155092592592592E-2</v>
      </c>
      <c r="X13" s="10">
        <f>M13+N14+O15+P16+Q17+R18+S19+T20+U21+V22+W23+X24</f>
        <v>2.1550925925925925E-2</v>
      </c>
      <c r="Y13" s="10">
        <f>K11+L12+M13+N14+O15+P16+Q17+R18+S19+T20+U21+V22+W23+X24+Y25</f>
        <v>2.7106481481481481E-2</v>
      </c>
      <c r="Z13" s="80">
        <v>3.4722222222222224E-4</v>
      </c>
    </row>
    <row r="14" spans="1:26" ht="20.100000000000001" customHeight="1" x14ac:dyDescent="0.2">
      <c r="A14" s="68" t="str">
        <f>M2</f>
        <v>STE</v>
      </c>
      <c r="B14" s="14">
        <f>B4+C5+D6+E7+F8+G9+H10+I11+J12+K13+L14</f>
        <v>2.3483796296296294E-2</v>
      </c>
      <c r="C14" s="14">
        <f>C5+D6+E7+F8+G9+H10+I11+J12+K13+L14</f>
        <v>1.9317129629629629E-2</v>
      </c>
      <c r="D14" s="14">
        <f>D6+E7+F8+G9+H10+I11+J12+K13+L14</f>
        <v>1.6620370370370369E-2</v>
      </c>
      <c r="E14" s="14">
        <f>E7+F8+G9+H10+I11+J12+K13+L14</f>
        <v>1.4421296296296298E-2</v>
      </c>
      <c r="F14" s="14">
        <f>F8+G9+H10+I11+J12+K13+L14</f>
        <v>1.2615740740740742E-2</v>
      </c>
      <c r="G14" s="14">
        <f>G9+H10+I11+J12+K13+L14</f>
        <v>1.0162037037037037E-2</v>
      </c>
      <c r="H14" s="14">
        <f>H10+I11+J12+K13+L14</f>
        <v>8.4143518518518534E-3</v>
      </c>
      <c r="I14" s="14">
        <f>I11+J12+K13+L14</f>
        <v>6.3194444444444452E-3</v>
      </c>
      <c r="J14" s="14">
        <f>J12+K13+L14</f>
        <v>4.9074074074074081E-3</v>
      </c>
      <c r="K14" s="14">
        <f>K13+L14</f>
        <v>3.5185185185185189E-3</v>
      </c>
      <c r="L14" s="13">
        <v>1.5509259259259261E-3</v>
      </c>
      <c r="M14" s="15"/>
      <c r="N14" s="11">
        <v>1.5277777777777779E-3</v>
      </c>
      <c r="O14" s="12">
        <f>N14+O15</f>
        <v>3.4953703703703709E-3</v>
      </c>
      <c r="P14" s="12">
        <f>N14+O15+P16</f>
        <v>5.2893518518518524E-3</v>
      </c>
      <c r="Q14" s="12">
        <f>N14+O15+P16+Q17</f>
        <v>6.8634259259259265E-3</v>
      </c>
      <c r="R14" s="12">
        <f>N14+O15+P16+Q17+R18</f>
        <v>8.2754629629629636E-3</v>
      </c>
      <c r="S14" s="12">
        <f>N14+O15+P16+Q17+R18+S19</f>
        <v>9.9768518518518531E-3</v>
      </c>
      <c r="T14" s="12">
        <f>N14+O15+P16+Q17+R18+S19+T20</f>
        <v>1.1782407407407408E-2</v>
      </c>
      <c r="U14" s="12">
        <f>N14+O15+P16+Q17+R18+S19+T20+U21</f>
        <v>1.4375000000000001E-2</v>
      </c>
      <c r="V14" s="10">
        <f>N14+O15+P16+Q17+R18+S19+T20+U21+V22</f>
        <v>1.6307870370370372E-2</v>
      </c>
      <c r="W14" s="10">
        <f>N14+O15+P16+Q17+R18+S19+T20+U21+V22+W23</f>
        <v>1.7604166666666667E-2</v>
      </c>
      <c r="X14" s="10">
        <f>N14+O15+P16+Q17+R18+S19+T20+U21+V22+W23+X24</f>
        <v>0.02</v>
      </c>
      <c r="Y14" s="10">
        <f>N14+O15+P16+Q17+R18+S19+T20+U21+V22+W23+X24+Y25</f>
        <v>2.2222222222222223E-2</v>
      </c>
      <c r="Z14" s="80">
        <v>3.4722222222222224E-4</v>
      </c>
    </row>
    <row r="15" spans="1:26" ht="20.100000000000001" customHeight="1" x14ac:dyDescent="0.2">
      <c r="A15" s="68" t="str">
        <f>N2</f>
        <v>AJO</v>
      </c>
      <c r="B15" s="14">
        <f>B4+C5+D6+E7+F8+G9+H10+I11+J12+K13+L14+M15</f>
        <v>2.4976851851851851E-2</v>
      </c>
      <c r="C15" s="14">
        <f>C5+D6+E7+F8+G9+H10+I11+J12+K13+L14+M15</f>
        <v>2.0810185185185185E-2</v>
      </c>
      <c r="D15" s="14">
        <f>D6+E7+F8+G9+H10+I11+J12+K13+L14+M15</f>
        <v>1.8113425925925925E-2</v>
      </c>
      <c r="E15" s="14">
        <f>E7+F8+G9+H10+I11+J12+K13+L14+M15</f>
        <v>1.5914351851851853E-2</v>
      </c>
      <c r="F15" s="14">
        <f>F8+G9+H10+I11+J12+K13+L14+M15</f>
        <v>1.4108796296296296E-2</v>
      </c>
      <c r="G15" s="14">
        <f>G9+H10+I11+J12+K13+L14+M15</f>
        <v>1.1655092592592592E-2</v>
      </c>
      <c r="H15" s="14">
        <f>+H10+I11+J12+K13+L14+M15</f>
        <v>9.9074074074074099E-3</v>
      </c>
      <c r="I15" s="14">
        <f>I11+J12+K13+L14+M15</f>
        <v>7.8125E-3</v>
      </c>
      <c r="J15" s="14">
        <f>J12+K13+L14+M15</f>
        <v>6.4004629629629637E-3</v>
      </c>
      <c r="K15" s="14">
        <f>K13+L14+M15</f>
        <v>5.0115740740740745E-3</v>
      </c>
      <c r="L15" s="14">
        <f>+L14+M15</f>
        <v>3.0439814814814817E-3</v>
      </c>
      <c r="M15" s="13">
        <v>1.4930555555555556E-3</v>
      </c>
      <c r="N15" s="15"/>
      <c r="O15" s="11">
        <v>1.9675925925925928E-3</v>
      </c>
      <c r="P15" s="12">
        <f>O15+P16</f>
        <v>3.7615740740740743E-3</v>
      </c>
      <c r="Q15" s="12">
        <f>O15+P16+Q17</f>
        <v>5.3356481481481484E-3</v>
      </c>
      <c r="R15" s="12">
        <f>O15+P16+Q17+R18</f>
        <v>6.7476851851851856E-3</v>
      </c>
      <c r="S15" s="12">
        <f>+O15+P16+Q17+R18+S19</f>
        <v>8.4490740740740741E-3</v>
      </c>
      <c r="T15" s="12">
        <f>O15+P16+Q17+R18+S19+T20</f>
        <v>1.0254629629629629E-2</v>
      </c>
      <c r="U15" s="12">
        <f>O15+P16+Q17+R18+S19+T20+U21</f>
        <v>1.2847222222222222E-2</v>
      </c>
      <c r="V15" s="10">
        <f>O15+P16+Q17+R18+S19+T20+U21+V22</f>
        <v>1.4780092592592591E-2</v>
      </c>
      <c r="W15" s="10">
        <f>O15+P16+Q17+R18+S19+T20+U21+V22+W23</f>
        <v>1.6076388888888887E-2</v>
      </c>
      <c r="X15" s="10">
        <f>O15+P16+Q17+R18+S19+T20+U21+V22+W23+X24</f>
        <v>1.847222222222222E-2</v>
      </c>
      <c r="Y15" s="10">
        <f>O15+P16+Q17+R18+S19+T20+U21+V22+W23+X24+Y25</f>
        <v>2.0694444444444442E-2</v>
      </c>
      <c r="Z15" s="80">
        <v>3.4722222222222224E-4</v>
      </c>
    </row>
    <row r="16" spans="1:26" ht="20.100000000000001" customHeight="1" x14ac:dyDescent="0.2">
      <c r="A16" s="68" t="str">
        <f>O2</f>
        <v>BRU</v>
      </c>
      <c r="B16" s="14">
        <f>B4+C5+D6+E7+F8+G9+H10+I11+J12+K13+L14+M15+N16</f>
        <v>2.6944444444444444E-2</v>
      </c>
      <c r="C16" s="14">
        <f>C5+D6+E7+F8+G9+H10+I11+J12+K13+L14+M15+N16</f>
        <v>2.2777777777777779E-2</v>
      </c>
      <c r="D16" s="14">
        <f>D6+E7+F8+G9+H10+I11+J12+K13+L14+M15+N16</f>
        <v>2.0081018518518519E-2</v>
      </c>
      <c r="E16" s="14">
        <f>E7+F8+G9+H10+I11+J12+K13+L14+M15+N16</f>
        <v>1.7881944444444447E-2</v>
      </c>
      <c r="F16" s="14">
        <f>F8+G9+H10+I11+J12+K13+L14+M15+N16</f>
        <v>1.607638888888889E-2</v>
      </c>
      <c r="G16" s="14">
        <f>G9+H10+I11+J12+K13+L14+M15+N16</f>
        <v>1.3622685185185186E-2</v>
      </c>
      <c r="H16" s="14">
        <f>H10+I11+J12+K13+L14+M15+N16</f>
        <v>1.1875000000000004E-2</v>
      </c>
      <c r="I16" s="14">
        <f>I11+J12+K13+L14+M15+N16</f>
        <v>9.7800925925925937E-3</v>
      </c>
      <c r="J16" s="14">
        <f>J12+K13+L14+M15+N16</f>
        <v>8.3680555555555557E-3</v>
      </c>
      <c r="K16" s="14">
        <f>K13+L14+M15+N16</f>
        <v>6.9791666666666674E-3</v>
      </c>
      <c r="L16" s="14">
        <f>L14+M15+N16</f>
        <v>5.0115740740740745E-3</v>
      </c>
      <c r="M16" s="14">
        <f>L14+M15</f>
        <v>3.0439814814814817E-3</v>
      </c>
      <c r="N16" s="13">
        <v>1.9675925925925928E-3</v>
      </c>
      <c r="O16" s="15"/>
      <c r="P16" s="11">
        <v>1.7939814814814815E-3</v>
      </c>
      <c r="Q16" s="12">
        <f>P16+Q17</f>
        <v>3.3680555555555556E-3</v>
      </c>
      <c r="R16" s="12">
        <f>P16+Q17+R18</f>
        <v>4.7800925925925927E-3</v>
      </c>
      <c r="S16" s="12">
        <f>P16+Q17+R18+S19</f>
        <v>6.4814814814814822E-3</v>
      </c>
      <c r="T16" s="12">
        <f>P16+Q17+R18+S19+T20</f>
        <v>8.2870370370370372E-3</v>
      </c>
      <c r="U16" s="12">
        <f>P16+Q17+R18+S19+T20+U21</f>
        <v>1.087962962962963E-2</v>
      </c>
      <c r="V16" s="10">
        <f>P16+Q17+R18+S19+T20+U21+V22</f>
        <v>1.2812500000000001E-2</v>
      </c>
      <c r="W16" s="10">
        <f>P16+Q17+R18+S19+T20+U21+V22+W23</f>
        <v>1.4108796296296296E-2</v>
      </c>
      <c r="X16" s="10">
        <f>P16+Q17+R18+S19+T20+U21+V22+W23+X24</f>
        <v>1.650462962962963E-2</v>
      </c>
      <c r="Y16" s="10">
        <f>P16+Q17+R18+S19+T20+U21+V22+W23+X24+Y25</f>
        <v>1.8726851851851852E-2</v>
      </c>
      <c r="Z16" s="80">
        <v>3.4722222222222224E-4</v>
      </c>
    </row>
    <row r="17" spans="1:26" ht="20.100000000000001" customHeight="1" x14ac:dyDescent="0.2">
      <c r="A17" s="68" t="str">
        <f>P2</f>
        <v>JBE</v>
      </c>
      <c r="B17" s="14">
        <f>B4+C5+D6+E7+F8+G9+H10+I11+J12+K13+L14+M15+N16+O17</f>
        <v>2.8738425925925924E-2</v>
      </c>
      <c r="C17" s="14">
        <f>C5+D6+E7+F8+G9+H10+I11+J12+K13+L14+M15+N16+O17</f>
        <v>2.4571759259259258E-2</v>
      </c>
      <c r="D17" s="14">
        <f>D6+E7+F8+G9+H10+I11+J12+K13+L14+M15+N16+O17</f>
        <v>2.1874999999999999E-2</v>
      </c>
      <c r="E17" s="14">
        <f>+E7+F8+G9+H10+I11+J12+K13+L14+M15+N16+O17</f>
        <v>1.967592592592593E-2</v>
      </c>
      <c r="F17" s="14">
        <f>F8+G9+H10+I11+J12+K13+L14+M15+N16+O17</f>
        <v>1.787037037037037E-2</v>
      </c>
      <c r="G17" s="14">
        <f>G9+H10+I11+J12+K13+L14+M15+N16+O17</f>
        <v>1.5416666666666667E-2</v>
      </c>
      <c r="H17" s="14">
        <f>H10+I11+J12+K13+L14+M15+N16+O17</f>
        <v>1.3668981481481485E-2</v>
      </c>
      <c r="I17" s="14">
        <f>I11+J12+K13+L14+M15+N16+O17</f>
        <v>1.1574074074074075E-2</v>
      </c>
      <c r="J17" s="14">
        <f>J12+K13+L14+M15+N16+O17</f>
        <v>1.0162037037037037E-2</v>
      </c>
      <c r="K17" s="14">
        <f>K13+L14+M15+N16+O17</f>
        <v>8.773148148148148E-3</v>
      </c>
      <c r="L17" s="14">
        <f>L14+M15+N16+O17</f>
        <v>6.805555555555556E-3</v>
      </c>
      <c r="M17" s="14">
        <f>M15+N16+O17</f>
        <v>5.2546296296296299E-3</v>
      </c>
      <c r="N17" s="14">
        <f>N16+O17</f>
        <v>3.7615740740740743E-3</v>
      </c>
      <c r="O17" s="13">
        <v>1.7939814814814815E-3</v>
      </c>
      <c r="P17" s="15"/>
      <c r="Q17" s="11">
        <v>1.5740740740740741E-3</v>
      </c>
      <c r="R17" s="12">
        <f>Q17+R18</f>
        <v>2.9861111111111113E-3</v>
      </c>
      <c r="S17" s="12">
        <f>Q17+R18+S19</f>
        <v>4.6875000000000007E-3</v>
      </c>
      <c r="T17" s="12">
        <f>Q17+R18+S19+T20</f>
        <v>6.4930555555555566E-3</v>
      </c>
      <c r="U17" s="12">
        <f>Q17+R18+S19+T20+U21</f>
        <v>9.0856481481481483E-3</v>
      </c>
      <c r="V17" s="10">
        <f>Q17+R18+S19+T20+U21+V22</f>
        <v>1.1018518518518518E-2</v>
      </c>
      <c r="W17" s="10">
        <f>Q17+R18+S19+T20+U21+V22+W23</f>
        <v>1.2314814814814813E-2</v>
      </c>
      <c r="X17" s="10">
        <f>Q17+R18+S19+T20+U21+V22+W23+X24</f>
        <v>1.4710648148148146E-2</v>
      </c>
      <c r="Y17" s="10">
        <f>Q17+R18+S19+T20+U21+V22+W23+X24+Y25</f>
        <v>1.6932870370370369E-2</v>
      </c>
      <c r="Z17" s="80">
        <v>3.4722222222222224E-4</v>
      </c>
    </row>
    <row r="18" spans="1:26" ht="20.100000000000001" customHeight="1" x14ac:dyDescent="0.2">
      <c r="A18" s="68" t="str">
        <f>Q2</f>
        <v>JSI</v>
      </c>
      <c r="B18" s="14">
        <f>B4+C5+D6+E7+F8+G9+H10+I11+J12+K13+L14+M15+N16+O17+P18</f>
        <v>3.0324074074074073E-2</v>
      </c>
      <c r="C18" s="14">
        <f>C5+D6+E7+F8+G9+H10+I11+J12+K13+L14+M15+N16+O17+P18</f>
        <v>2.6157407407407407E-2</v>
      </c>
      <c r="D18" s="14">
        <f>D6+E7+F8+G9+H10+I11+J12+K13+L14+M15+N16+O17+P18</f>
        <v>2.3460648148148147E-2</v>
      </c>
      <c r="E18" s="14">
        <f>E7+F8+G9+H10+I11+J12+K13+L14+M15+N16+O17+P18</f>
        <v>2.1261574074074079E-2</v>
      </c>
      <c r="F18" s="14">
        <f>F8+G9+H10+I11+J12+K13+L14+M15+N16+O17+P18</f>
        <v>1.9456018518518518E-2</v>
      </c>
      <c r="G18" s="14">
        <f>G9+H10+I11+J12+K13+L14+M15+N16+O17+P18</f>
        <v>1.7002314814814814E-2</v>
      </c>
      <c r="H18" s="14">
        <f>H10+I11+J12+K13+L14+M15+N16+O17+P18</f>
        <v>1.5254629629629634E-2</v>
      </c>
      <c r="I18" s="14">
        <f>I11+J12+K13+L14+M15+N16+O17+P18</f>
        <v>1.3159722222222224E-2</v>
      </c>
      <c r="J18" s="14">
        <f>J12+K13+L14+M15+N16+O17+P18</f>
        <v>1.1747685185185186E-2</v>
      </c>
      <c r="K18" s="14">
        <f>K13+L14+M15+N16+O17+P18</f>
        <v>1.0358796296296297E-2</v>
      </c>
      <c r="L18" s="14">
        <f>L14+M15+N16+O17+P18</f>
        <v>8.3912037037037045E-3</v>
      </c>
      <c r="M18" s="14">
        <f>M15+N16+O17+P18</f>
        <v>6.8402777777777776E-3</v>
      </c>
      <c r="N18" s="14">
        <f>N16+O17+P18</f>
        <v>5.347222222222222E-3</v>
      </c>
      <c r="O18" s="14">
        <f>O17+P18</f>
        <v>3.3796296296296291E-3</v>
      </c>
      <c r="P18" s="13">
        <v>1.5856481481481479E-3</v>
      </c>
      <c r="Q18" s="15"/>
      <c r="R18" s="11">
        <v>1.4120370370370369E-3</v>
      </c>
      <c r="S18" s="12">
        <f>R18+S19</f>
        <v>3.1134259259259262E-3</v>
      </c>
      <c r="T18" s="12">
        <f>R18+S19+T20</f>
        <v>4.9189814814814816E-3</v>
      </c>
      <c r="U18" s="12">
        <f>R18+S19+T20+U21</f>
        <v>7.5115740740740742E-3</v>
      </c>
      <c r="V18" s="10">
        <f>R18+S19+T20+U21+V22</f>
        <v>9.4444444444444445E-3</v>
      </c>
      <c r="W18" s="10">
        <f>R18+S19+T20+U21+V22+W23</f>
        <v>1.0740740740740742E-2</v>
      </c>
      <c r="X18" s="10">
        <f>R18+S19+T20+U21+V22+W23+X24</f>
        <v>1.3136574074074075E-2</v>
      </c>
      <c r="Y18" s="10">
        <f>R18+S19+T20+U21+V22+W23+X24+Y25</f>
        <v>1.5358796296296297E-2</v>
      </c>
      <c r="Z18" s="80">
        <v>3.4722222222222224E-4</v>
      </c>
    </row>
    <row r="19" spans="1:26" ht="20.100000000000001" customHeight="1" x14ac:dyDescent="0.2">
      <c r="A19" s="68" t="str">
        <f>R2</f>
        <v>JDI</v>
      </c>
      <c r="B19" s="14">
        <f>B4+C5+D6+E7+F8+G9+H10+I11+J12+K13+L14+M15+N16+O17+P18+Q19</f>
        <v>3.1736111111111111E-2</v>
      </c>
      <c r="C19" s="14">
        <f>C5+D6+E7+F8+G9+H10+I11+J12+K13+L14+M15+N16+O17+P18+Q19</f>
        <v>2.7569444444444445E-2</v>
      </c>
      <c r="D19" s="14">
        <f>D6+E7+F8+G9+H10+I11+J12+K13+L14+M15+N16+O17+P18+Q19</f>
        <v>2.4872685185185185E-2</v>
      </c>
      <c r="E19" s="14">
        <f>E7+F8+G9+H10+I11+J12+K13+L14+M15+N16+O17+P18+Q19</f>
        <v>2.2673611111111117E-2</v>
      </c>
      <c r="F19" s="14">
        <f>F8+G9+H10+I11+J12+K13+L14+M15+N16+O17+P18+Q19</f>
        <v>2.0868055555555556E-2</v>
      </c>
      <c r="G19" s="14">
        <f>G9+H10+I11+J12+K13+L14+M15+N16+O17+P18+Q19</f>
        <v>1.8414351851851852E-2</v>
      </c>
      <c r="H19" s="14">
        <f>H10+I11+J12+K13+L14+M15+N16+O17+P18+Q19</f>
        <v>1.666666666666667E-2</v>
      </c>
      <c r="I19" s="14">
        <f>I11+J12+K13+L14+M15+N16+O17+P18+Q19</f>
        <v>1.457175925925926E-2</v>
      </c>
      <c r="J19" s="14">
        <f>J12+K13+L14+M15+N16+O17+P18+Q19</f>
        <v>1.3159722222222222E-2</v>
      </c>
      <c r="K19" s="14">
        <f>K13+L14+M15+N16+O17+P18+Q19</f>
        <v>1.1770833333333333E-2</v>
      </c>
      <c r="L19" s="14">
        <f>L14+M15+N16+O17+P18+Q19</f>
        <v>9.8032407407407408E-3</v>
      </c>
      <c r="M19" s="14">
        <f>M15+N16+O17+P18+Q19</f>
        <v>8.2523148148148148E-3</v>
      </c>
      <c r="N19" s="14">
        <f>N16+O17+P18+Q19</f>
        <v>6.7592592592592591E-3</v>
      </c>
      <c r="O19" s="14">
        <f>O17+P18+Q19</f>
        <v>4.7916666666666663E-3</v>
      </c>
      <c r="P19" s="14">
        <f>P18+Q19</f>
        <v>2.9976851851851848E-3</v>
      </c>
      <c r="Q19" s="13">
        <v>1.4120370370370369E-3</v>
      </c>
      <c r="R19" s="15"/>
      <c r="S19" s="11">
        <v>1.7013888888888892E-3</v>
      </c>
      <c r="T19" s="12">
        <f>S19+T20</f>
        <v>3.5069444444444449E-3</v>
      </c>
      <c r="U19" s="12">
        <f>S19+T20+U21</f>
        <v>6.099537037037037E-3</v>
      </c>
      <c r="V19" s="10">
        <f>S19+T20+U21+V22</f>
        <v>8.0324074074074082E-3</v>
      </c>
      <c r="W19" s="10">
        <f>S19+T20+U21+V22+W23</f>
        <v>9.3287037037037036E-3</v>
      </c>
      <c r="X19" s="10">
        <f>S19+T20+U21+V22+W23+X24</f>
        <v>1.1724537037037037E-2</v>
      </c>
      <c r="Y19" s="10">
        <f>S19+T20+U21+V22+W23+X24+Y25</f>
        <v>1.3946759259259259E-2</v>
      </c>
      <c r="Z19" s="80">
        <v>3.4722222222222224E-4</v>
      </c>
    </row>
    <row r="20" spans="1:26" ht="20.100000000000001" customHeight="1" x14ac:dyDescent="0.2">
      <c r="A20" s="68" t="str">
        <f>S2</f>
        <v>SCO</v>
      </c>
      <c r="B20" s="14">
        <f>B4+C5+D6+E7+F8+G9+H10+I11+J12+K13+L14+M15+N16+O17+P18+Q19+R20</f>
        <v>3.3437500000000002E-2</v>
      </c>
      <c r="C20" s="14">
        <f>C5+D6+E7+F8+G9+H10+I11+J12+K13+L14+M15+N16+O17+P18+Q19+R20</f>
        <v>2.9270833333333333E-2</v>
      </c>
      <c r="D20" s="14">
        <f>D6+E7+F8+G9+H10+I11+J12+K13+L14+M15+N16+O17+P18+Q19+R20</f>
        <v>2.6574074074074073E-2</v>
      </c>
      <c r="E20" s="14">
        <f>E7+F8+G9+H10+I11+J12+K13+L14+M15+N16+O17+P18+Q19+R20</f>
        <v>2.4375000000000004E-2</v>
      </c>
      <c r="F20" s="14">
        <f>F8+G9+H10+I11+J12+K13+L14+M15+N16+O17+P18+Q19+R20</f>
        <v>2.2569444444444444E-2</v>
      </c>
      <c r="G20" s="14">
        <f>G9+H10+I11+J12+K13+L14+M15+N16+O17+P18+Q19+R20</f>
        <v>2.011574074074074E-2</v>
      </c>
      <c r="H20" s="14">
        <f>H10+I11+J12+K13+L14+M15+N16+O17+P18+Q19+R20</f>
        <v>1.8368055555555558E-2</v>
      </c>
      <c r="I20" s="14">
        <f>I11+J12+K13+L14+M15+N16+O17+P18+Q19+R20</f>
        <v>1.6273148148148148E-2</v>
      </c>
      <c r="J20" s="14">
        <f>J12+K13+L14+M15+N16+O17+P18+Q19+R20</f>
        <v>1.4861111111111111E-2</v>
      </c>
      <c r="K20" s="14">
        <f>K13+L14+M15+N16+O17+P18+Q19+R20</f>
        <v>1.3472222222222222E-2</v>
      </c>
      <c r="L20" s="14">
        <f>L14+M15+N16+O17+P18+Q19+R20</f>
        <v>1.150462962962963E-2</v>
      </c>
      <c r="M20" s="14">
        <f>M15+N16+O17+P18+Q19+R20</f>
        <v>9.9537037037037042E-3</v>
      </c>
      <c r="N20" s="14">
        <f>N16+O17+P18+Q19+R20</f>
        <v>8.4606481481481477E-3</v>
      </c>
      <c r="O20" s="14">
        <f>O17+P18+Q19+R20</f>
        <v>6.4930555555555557E-3</v>
      </c>
      <c r="P20" s="14">
        <f>P18+Q19+R20</f>
        <v>4.6990740740740743E-3</v>
      </c>
      <c r="Q20" s="14">
        <f>Q19+R20</f>
        <v>3.1134259259259262E-3</v>
      </c>
      <c r="R20" s="13">
        <v>1.7013888888888892E-3</v>
      </c>
      <c r="S20" s="15"/>
      <c r="T20" s="11">
        <v>1.8055555555555557E-3</v>
      </c>
      <c r="U20" s="12">
        <f>T20+U21</f>
        <v>4.3981481481481484E-3</v>
      </c>
      <c r="V20" s="10">
        <f>T20+U21+V22</f>
        <v>6.3310185185185188E-3</v>
      </c>
      <c r="W20" s="10">
        <f>T20+U21+V22+W23</f>
        <v>7.6273148148148151E-3</v>
      </c>
      <c r="X20" s="10">
        <f>T20+U21+V22+W23+X24</f>
        <v>1.0023148148148149E-2</v>
      </c>
      <c r="Y20" s="10">
        <f>T20+U21+V22+W23+X24+Y25</f>
        <v>1.2245370370370372E-2</v>
      </c>
      <c r="Z20" s="80">
        <v>3.4722222222222224E-4</v>
      </c>
    </row>
    <row r="21" spans="1:26" ht="20.100000000000001" customHeight="1" x14ac:dyDescent="0.2">
      <c r="A21" s="68" t="str">
        <f>T2</f>
        <v>ECD</v>
      </c>
      <c r="B21" s="14">
        <f>B4+C5+D6+E7+F8+G9+H10+I11+J12+K13+L14+M15+N16+O17+P18+Q19+R20+S21</f>
        <v>3.5208333333333335E-2</v>
      </c>
      <c r="C21" s="14">
        <f>C5+D6+E7+F8+G9+H10+I11+J12+K13+L14+M15+N16+O17+P18+Q19+R20+S21</f>
        <v>3.1041666666666665E-2</v>
      </c>
      <c r="D21" s="14">
        <f>D6+E7+F8+G9+H10+I11+J12+K13+L14+M15+N16+O17+P18+Q19+R20+S21</f>
        <v>2.8344907407407405E-2</v>
      </c>
      <c r="E21" s="14">
        <f>E7+F8+G9+H10+I11+J12+K13+L14+M15+N16+O17+P18+Q19+R20+S21</f>
        <v>2.6145833333333337E-2</v>
      </c>
      <c r="F21" s="14">
        <f>F8+G9+H10+I11+J12+K13+L14+M15+N16+O17+P18+Q19+R20+S21</f>
        <v>2.4340277777777777E-2</v>
      </c>
      <c r="G21" s="14">
        <f>G9+H10+I11+J12+K13+L14+M15+N16+O17+P18+Q19+R20+S21</f>
        <v>2.1886574074074072E-2</v>
      </c>
      <c r="H21" s="14">
        <f>H10+I11+J12+K13+L14+M15+N16+O17+P18+Q19+R20+S21</f>
        <v>2.013888888888889E-2</v>
      </c>
      <c r="I21" s="14">
        <f>I11+J12+K13+L14+M15+N16+O17+P18+Q19+R20+S21</f>
        <v>1.804398148148148E-2</v>
      </c>
      <c r="J21" s="14">
        <f>J12+K13+L14+M15+N16+O17+P18+Q19+R20+S21</f>
        <v>1.6631944444444446E-2</v>
      </c>
      <c r="K21" s="14">
        <f>K13+L14+M15+N16+O17+P18+Q19+R20+S21</f>
        <v>1.5243055555555555E-2</v>
      </c>
      <c r="L21" s="14">
        <f>L14+M15+N16+O17+P18+Q19+R20+S21</f>
        <v>1.3275462962962963E-2</v>
      </c>
      <c r="M21" s="14">
        <f>M15+N16+O17+P18+Q19+R20+S21</f>
        <v>1.1724537037037037E-2</v>
      </c>
      <c r="N21" s="14">
        <f>N16+O17+P18+Q19+R20+S21</f>
        <v>1.023148148148148E-2</v>
      </c>
      <c r="O21" s="14">
        <f>O17+P18+Q19+R20+S21</f>
        <v>8.2638888888888883E-3</v>
      </c>
      <c r="P21" s="14">
        <f>P18+Q19+R20+S21</f>
        <v>6.4699074074074077E-3</v>
      </c>
      <c r="Q21" s="14">
        <f>Q19+R20+S21</f>
        <v>4.8842592592592592E-3</v>
      </c>
      <c r="R21" s="14">
        <f>R20+S21</f>
        <v>3.4722222222222225E-3</v>
      </c>
      <c r="S21" s="13">
        <v>1.7708333333333332E-3</v>
      </c>
      <c r="T21" s="15"/>
      <c r="U21" s="11">
        <v>2.5925925925925925E-3</v>
      </c>
      <c r="V21" s="10">
        <f>U21+V22</f>
        <v>4.5254629629629629E-3</v>
      </c>
      <c r="W21" s="10">
        <f>U21+V22+W23</f>
        <v>5.8217592592592592E-3</v>
      </c>
      <c r="X21" s="10">
        <f>U21+V22+W23+X24</f>
        <v>8.2175925925925923E-3</v>
      </c>
      <c r="Y21" s="10">
        <f>U21+V22+W23+X24+Y25</f>
        <v>1.0439814814814815E-2</v>
      </c>
      <c r="Z21" s="80">
        <v>3.4722222222222224E-4</v>
      </c>
    </row>
    <row r="22" spans="1:26" ht="20.100000000000001" customHeight="1" x14ac:dyDescent="0.2">
      <c r="A22" s="68" t="str">
        <f>U2</f>
        <v>IPV</v>
      </c>
      <c r="B22" s="14">
        <f>B4+C5+D6+E7+F8+G9+H10+I11+J12+K13+L14+M15+N16+O17+P18+Q19+R20+S21+T22</f>
        <v>3.681712962962963E-2</v>
      </c>
      <c r="C22" s="14">
        <f>C5+D6+E7+F8+G9+H10+I11+J12+K13+L14+M15+N16+O17+P18+Q19+R20+S21+T22</f>
        <v>3.2650462962962964E-2</v>
      </c>
      <c r="D22" s="14">
        <f>D6+E7+F8+G9+H10+I11+J12+K13+L14+M15+N16+O17+P18+Q19+R20+S21+T22</f>
        <v>2.9953703703703701E-2</v>
      </c>
      <c r="E22" s="14">
        <f>+E7+F8+G9+H10+I11+J12+K13+L14+M15+N16+O17+P18+Q19+R20+S21+T22</f>
        <v>2.7754629629629633E-2</v>
      </c>
      <c r="F22" s="14">
        <f>F8+G9+H10+I11+J12+K13+L14+M15+N16+O17+P18+Q19+R20+S21+T22</f>
        <v>2.5949074074074072E-2</v>
      </c>
      <c r="G22" s="14">
        <f>G9+H10+I11+J12+K13+L14+M15+N16+O17+P18+Q19+R20+S21+T22</f>
        <v>2.3495370370370368E-2</v>
      </c>
      <c r="H22" s="14">
        <f>H10+I11+J12+K13+L14+M15+N16+O17+P18+Q19+R20+S21+T22</f>
        <v>2.1747685185185186E-2</v>
      </c>
      <c r="I22" s="14">
        <f>I11+J12+K13+L14+M15+N16+O17+P18+Q19+R20+S21+T22</f>
        <v>1.9652777777777776E-2</v>
      </c>
      <c r="J22" s="14">
        <f>J12+K13+L14+M15+N16+O17+P18+Q19+R20+S21+T22</f>
        <v>1.8240740740740741E-2</v>
      </c>
      <c r="K22" s="14">
        <f>K13+L14+M15+N16+O17+P18+Q19+R20+S21+T22</f>
        <v>1.6851851851851851E-2</v>
      </c>
      <c r="L22" s="14">
        <f>L14+M15+N16+O17+P18+Q19+R20+S21+T22</f>
        <v>1.4884259259259259E-2</v>
      </c>
      <c r="M22" s="14">
        <f>M15+N16+O17+P18+Q19+R20+S21+T22</f>
        <v>1.3333333333333332E-2</v>
      </c>
      <c r="N22" s="14">
        <f>N16+O17+P18+Q19+R20+S21+T22</f>
        <v>1.1840277777777776E-2</v>
      </c>
      <c r="O22" s="14">
        <f>O17+P18+Q19+R20+S21+T22</f>
        <v>9.872685185185184E-3</v>
      </c>
      <c r="P22" s="14">
        <f>P18+Q19+R20+S21+T22</f>
        <v>8.0787037037037043E-3</v>
      </c>
      <c r="Q22" s="14">
        <f>Q19+R20+S21+T22</f>
        <v>6.4930555555555557E-3</v>
      </c>
      <c r="R22" s="14">
        <f>R20+S21+T22</f>
        <v>5.0810185185185186E-3</v>
      </c>
      <c r="S22" s="14">
        <f>S21+T22</f>
        <v>3.3796296296296296E-3</v>
      </c>
      <c r="T22" s="13">
        <v>1.6087962962962963E-3</v>
      </c>
      <c r="U22" s="15"/>
      <c r="V22" s="11">
        <v>1.9328703703703704E-3</v>
      </c>
      <c r="W22" s="10">
        <f>W23+V22</f>
        <v>3.2291666666666666E-3</v>
      </c>
      <c r="X22" s="10">
        <f>V22+W23+X24</f>
        <v>5.6249999999999998E-3</v>
      </c>
      <c r="Y22" s="10">
        <f>V22+W23+X24+Y25</f>
        <v>7.8472222222222224E-3</v>
      </c>
      <c r="Z22" s="80">
        <v>3.4722222222222224E-4</v>
      </c>
    </row>
    <row r="23" spans="1:26" ht="20.100000000000001" customHeight="1" x14ac:dyDescent="0.2">
      <c r="A23" s="68" t="s">
        <v>21</v>
      </c>
      <c r="B23" s="53">
        <f>SUM(B4,C5,D6,E7,F8,G9,H10,I11,J12,K13,L14,M15,N16,O17,P18,Q19,R20,S21,T22,U23)</f>
        <v>3.9259259259259258E-2</v>
      </c>
      <c r="C23" s="53">
        <f>SUM(C5,D6,E7,F8,G9,H10,I11,J12,K13,L14,M15,N16,O17,P18,Q19,R20,S21,T22,U23)</f>
        <v>3.5092592592592592E-2</v>
      </c>
      <c r="D23" s="53">
        <f>SUM(D6,E7,F8,G9,H10,I11,J12,K13,L14,M15,N16,O17,P18,Q19,R20,S21,T22,U23)</f>
        <v>3.2395833333333332E-2</v>
      </c>
      <c r="E23" s="53">
        <f>SUM(E7,F8,G9,H10,I11,J12,K13,L14,M15,N16,O17,P18,Q19,R20,S21,T22,U23)</f>
        <v>3.0196759259259263E-2</v>
      </c>
      <c r="F23" s="53">
        <f>SUM(F8,G9,H10,I11,J12,K13,L14,M15,N16,O17,P18,Q19,R20,S21,T22,U23)</f>
        <v>2.8391203703703703E-2</v>
      </c>
      <c r="G23" s="53">
        <f>SUM(G9,H10,I11,J12,K13,L14,M15,N16,O17,P18,Q19,R20,S21,T22,U23)</f>
        <v>2.5937499999999999E-2</v>
      </c>
      <c r="H23" s="53">
        <f>SUM(H10,I11,J12,K13,L14,M15,N16,O17,P18,Q19,R20,S21,T22,U23)</f>
        <v>2.4189814814814817E-2</v>
      </c>
      <c r="I23" s="53">
        <f>SUM(I11,J12,K13,L14,M15,N16,O17,P18,Q19,R20,S21,T22,U23)</f>
        <v>2.2094907407407407E-2</v>
      </c>
      <c r="J23" s="53">
        <f>SUM(J12,K13,L14,M15,N16,O17,P18,Q19,R20,S21,T22,U23)</f>
        <v>2.0682870370370372E-2</v>
      </c>
      <c r="K23" s="53">
        <f>SUM(K13,L14,M15,N16,O17,P18,Q19,R20,S21,T22,U23)</f>
        <v>1.9293981481481481E-2</v>
      </c>
      <c r="L23" s="53">
        <f>SUM(L14,M15,N16,O17,P18,Q19,R20,S21,T22,U23)</f>
        <v>1.7326388888888888E-2</v>
      </c>
      <c r="M23" s="53">
        <f>SUM(M15,N16,O17,P18,Q19,R20,S21,T22,U23)</f>
        <v>1.5775462962962963E-2</v>
      </c>
      <c r="N23" s="53">
        <f>SUM(N16,O17,P18,Q19,R20,S21,T22,U23)</f>
        <v>1.4282407407407405E-2</v>
      </c>
      <c r="O23" s="53">
        <f>SUM(O17,P18,Q19,R20,S21,T22,U23)</f>
        <v>1.2314814814814813E-2</v>
      </c>
      <c r="P23" s="53">
        <f>SUM(P18,Q19,R20,S21,T22,U23)</f>
        <v>1.0520833333333333E-2</v>
      </c>
      <c r="Q23" s="53">
        <f>SUM(Q19,R20,S21,T22,U23)</f>
        <v>8.9351851851851849E-3</v>
      </c>
      <c r="R23" s="53">
        <f>R20+S21+T22+U23</f>
        <v>7.5231481481481486E-3</v>
      </c>
      <c r="S23" s="53">
        <f>S21+T22+U23</f>
        <v>5.8217592592592592E-3</v>
      </c>
      <c r="T23" s="53">
        <f>T22+U23</f>
        <v>4.0509259259259257E-3</v>
      </c>
      <c r="U23" s="13">
        <v>2.4421296296296296E-3</v>
      </c>
      <c r="V23" s="54"/>
      <c r="W23" s="24">
        <v>1.2962962962962963E-3</v>
      </c>
      <c r="X23" s="10">
        <f>X24+W23</f>
        <v>3.6921296296296298E-3</v>
      </c>
      <c r="Y23" s="10">
        <f>Y25+X24+W23</f>
        <v>5.9143518518518521E-3</v>
      </c>
      <c r="Z23" s="80">
        <v>3.4722222222222224E-4</v>
      </c>
    </row>
    <row r="24" spans="1:26" ht="20.100000000000001" customHeight="1" x14ac:dyDescent="0.2">
      <c r="A24" s="68" t="s">
        <v>22</v>
      </c>
      <c r="B24" s="53">
        <f>SUM(B4,C5,D6,E7,F8,G9,H10,I11,J12,K13,L14,M15,N16,O17,P18,Q19,R20,S21,T22,U23,V24)</f>
        <v>4.0555555555555553E-2</v>
      </c>
      <c r="C24" s="55">
        <f>SUM(C5,D6,E7,F8,G9,H10,I11,J12,K13,L14,M15,N16,O17,P18,Q19,R20,S21,T22,U23,V24)</f>
        <v>3.6388888888888887E-2</v>
      </c>
      <c r="D24" s="53">
        <f>SUM(D6,E7,F8,G9,H10,I11,J12,K13,L14,M15,N16,O17,P18,Q19,R20,S21,T22,U23,V24)</f>
        <v>3.3692129629629627E-2</v>
      </c>
      <c r="E24" s="53">
        <f>SUM(E7,F8,G9,H10,I11,J12,K13,L14,M15,N16,O17,P18,Q19,R20,S21,T22,U23,V24)</f>
        <v>3.1493055555555559E-2</v>
      </c>
      <c r="F24" s="53">
        <f>SUM(F8,G9,H10,I11,J12,K13,L14,M15,N16,O17,P18,Q19,R20,S21,T22,U23,V24)</f>
        <v>2.9687499999999999E-2</v>
      </c>
      <c r="G24" s="53">
        <f>SUM(G9,H10,I11,J12,K13,L14,M15,N16,O17,P18,Q19,R20,S21,T22,U23,V24)</f>
        <v>2.7233796296296294E-2</v>
      </c>
      <c r="H24" s="53">
        <f>SUM(H10,I11,J12,K13,L14,M15,N16,O17,P18,Q19,R20,S21,T22,U23,V24)</f>
        <v>2.5486111111111112E-2</v>
      </c>
      <c r="I24" s="53">
        <f>SUM(I11,J12,K13,L14,M15,N16,O17,P18,Q19,R20,S21,T22,U23,V24)</f>
        <v>2.3391203703703702E-2</v>
      </c>
      <c r="J24" s="53">
        <f>SUM(J12,K13,L14,M15,N16,O17,P18,Q19,R20,S21,T22,U23,V24)</f>
        <v>2.1979166666666668E-2</v>
      </c>
      <c r="K24" s="53">
        <f>SUM(K13,L14,M15,N16,O17,P18,Q19,R20,S21,T22,U23,V24)</f>
        <v>2.0590277777777777E-2</v>
      </c>
      <c r="L24" s="53">
        <f>SUM(L14,M15,N16,O17,P18,Q19,R20,S21,T22,U23,V24)</f>
        <v>1.8622685185185183E-2</v>
      </c>
      <c r="M24" s="53">
        <f>SUM(M15,N16,O17,P18,Q19,R20,S21,T22,U23,V24)</f>
        <v>1.7071759259259259E-2</v>
      </c>
      <c r="N24" s="53">
        <f>SUM(N16,O17,P18,Q19,R20,S21,T22,U23,V24)</f>
        <v>1.5578703703703702E-2</v>
      </c>
      <c r="O24" s="53">
        <f>SUM(O17,P18,Q19,R20,S21,T22,U23,V24)</f>
        <v>1.3611111111111109E-2</v>
      </c>
      <c r="P24" s="53">
        <f>SUM(P18,Q19,R20,S21,T22,U23,V24)</f>
        <v>1.1817129629629629E-2</v>
      </c>
      <c r="Q24" s="53">
        <f>SUM(Q19,R20,S21,T22,U23,V24)</f>
        <v>1.023148148148148E-2</v>
      </c>
      <c r="R24" s="53">
        <f>R20+S21+T22+U23+V24</f>
        <v>8.8194444444444457E-3</v>
      </c>
      <c r="S24" s="53">
        <f>S21+T22+U23+V24</f>
        <v>7.1180555555555554E-3</v>
      </c>
      <c r="T24" s="53">
        <f>T23+U23+V24</f>
        <v>7.789351851851852E-3</v>
      </c>
      <c r="U24" s="53">
        <f>U23+V24</f>
        <v>3.7384259259259259E-3</v>
      </c>
      <c r="V24" s="22">
        <v>1.2962962962962963E-3</v>
      </c>
      <c r="W24" s="56"/>
      <c r="X24" s="24">
        <v>2.3958333333333336E-3</v>
      </c>
      <c r="Y24" s="10">
        <f>Y25+X24</f>
        <v>4.6180555555555558E-3</v>
      </c>
      <c r="Z24" s="80">
        <v>3.4722222222222224E-4</v>
      </c>
    </row>
    <row r="25" spans="1:26" ht="20.100000000000001" customHeight="1" x14ac:dyDescent="0.2">
      <c r="A25" s="68" t="s">
        <v>23</v>
      </c>
      <c r="B25" s="53">
        <f>SUM(B4,C5,D6,E7,F8,G9,H10,I11,J12,K13,L14,M15,N16,O17,P18,Q19,R20,S21,T22,U23,V24,W25)</f>
        <v>4.2627314814814812E-2</v>
      </c>
      <c r="C25" s="53">
        <f>SUM(C5,D6,E7,F8,G9,H10,I11,J12,K13,L14,M15,N16,O17,P18,Q19,R20,S21,T22,U23,V24,W25)</f>
        <v>3.8460648148148147E-2</v>
      </c>
      <c r="D25" s="53">
        <f>SUM(D6,E7,F8,G9,H10,I11,J12,K13,L14,M15,N16,O17,P18,Q19,R20,S21,T22,U23,V24,W25)</f>
        <v>3.5763888888888887E-2</v>
      </c>
      <c r="E25" s="53">
        <f>SUM(E7,F8,G9,H10,I11,J12,K13,L14,M15,N16,O17,P18,Q19,R20,S21,T22,U23,V24,W25)</f>
        <v>3.3564814814814818E-2</v>
      </c>
      <c r="F25" s="53">
        <f>SUM(F8,G9,H10,I11,J12,K13,L14,M15,N16,O17,P18,Q19,R20,S21,T22,U23,V24,W25)</f>
        <v>3.1759259259259258E-2</v>
      </c>
      <c r="G25" s="53">
        <f>SUM(G9,H10,I11,J12,K13,L14,M15,N16,O17,P18,Q19,R20,S21,T22,U23,V24,W25)</f>
        <v>2.9305555555555553E-2</v>
      </c>
      <c r="H25" s="53">
        <f>SUM(H10,I11,J12,K13,L14,M15,N16,O17,P18,Q19,R20,S21,T22,U23,V24,W25)</f>
        <v>2.7557870370370371E-2</v>
      </c>
      <c r="I25" s="53">
        <f>SUM(I11,J12,K13,L14,M15,N16,O17,P18,Q19,R20,S21,T22,U23,V24,W25)</f>
        <v>2.5462962962962962E-2</v>
      </c>
      <c r="J25" s="53">
        <f>SUM(J12,K13,L14,M15,N16,O17,P18,Q19,R20,S21,T22,U23,V24,W25)</f>
        <v>2.4050925925925927E-2</v>
      </c>
      <c r="K25" s="53">
        <f>SUM(K13,L14,M15,N16,O17,P18,Q19,R20,S21,T22,U23,V24,W25)</f>
        <v>2.2662037037037036E-2</v>
      </c>
      <c r="L25" s="53">
        <f>SUM(L14,M15,N16,O17,P18,Q19,R20,S21,T22,U23,V24,W25)</f>
        <v>2.0694444444444442E-2</v>
      </c>
      <c r="M25" s="53">
        <f>SUM(M15,N16,O17,P18,Q19,R20,S21,T22,U23,V24,W25)</f>
        <v>1.9143518518518518E-2</v>
      </c>
      <c r="N25" s="53">
        <f>SUM(N16,O17,P18,Q19,R20,S21,T22,U23,V24,W25)</f>
        <v>1.7650462962962962E-2</v>
      </c>
      <c r="O25" s="53">
        <f>SUM(O17,P18,Q19,R20,S21,T22,U23,V24,W25)</f>
        <v>1.5682870370370368E-2</v>
      </c>
      <c r="P25" s="53">
        <f>SUM(P18,Q19,R20,S21,T22,U23,V24,W25)</f>
        <v>1.3888888888888888E-2</v>
      </c>
      <c r="Q25" s="53">
        <f>SUM(Q19,R20,S21,T22,U23,V24,W25)</f>
        <v>1.230324074074074E-2</v>
      </c>
      <c r="R25" s="53">
        <f>R20+S21+T22+U23+V24+W25</f>
        <v>1.0891203703703705E-2</v>
      </c>
      <c r="S25" s="53">
        <f>S21+T22+U23+V24+W25</f>
        <v>9.1898148148148139E-3</v>
      </c>
      <c r="T25" s="53">
        <f>T22+U23+V24+W25</f>
        <v>7.4189814814814813E-3</v>
      </c>
      <c r="U25" s="53">
        <f>U23+V24+W25</f>
        <v>5.8101851851851856E-3</v>
      </c>
      <c r="V25" s="53">
        <f>V24+W25</f>
        <v>3.3680555555555556E-3</v>
      </c>
      <c r="W25" s="22">
        <v>2.0717592592592593E-3</v>
      </c>
      <c r="X25" s="54"/>
      <c r="Y25" s="24">
        <v>2.2222222222222222E-3</v>
      </c>
      <c r="Z25" s="80">
        <v>3.4722222222222224E-4</v>
      </c>
    </row>
    <row r="26" spans="1:26" ht="20.100000000000001" customHeight="1" x14ac:dyDescent="0.2">
      <c r="A26" s="68" t="s">
        <v>24</v>
      </c>
      <c r="B26" s="53">
        <f>SUM(B4,C5,D6,E7,F8,G9,H10,I11,J12,K13,L14,M15,N16,O17,P18,Q19,R20,S21,T22,U23,V24,W25,X26)</f>
        <v>4.403935185185185E-2</v>
      </c>
      <c r="C26" s="53">
        <f>SUM(C5,D6,E7,F8,G9,H10,I11,J12,K13,L14,M15,N16,O17,P18,Q19,R20,S21,T22,U23,V24,W25,X26)</f>
        <v>3.9872685185185185E-2</v>
      </c>
      <c r="D26" s="53">
        <f>SUM(D6,E7,F8,G9,H10,I11,J12,K13,L14,M15,N16,O17,P18,Q19,R20,S21,T22,U23,V24,W25,X26)</f>
        <v>3.7175925925925925E-2</v>
      </c>
      <c r="E26" s="53">
        <f>SUM(E7,F8,G9,H10,I11,J12,K13,L14,M15,N16,O17,P18,Q19,R20,S21,T22,U23,V24,W25,X26)</f>
        <v>3.4976851851851856E-2</v>
      </c>
      <c r="F26" s="53">
        <f>SUM(F8,G9,H10,I11,J12,K13,L14,M15,N16,O17,P18,Q19,R20,S21,T22,U23,V24,W25,X26)</f>
        <v>3.3171296296296296E-2</v>
      </c>
      <c r="G26" s="53">
        <f>SUM(G9,H10,I11,J12,K13,L14,M15,N16,O17,P18,Q19,R20,S21,T22,U23,V24,W25,X26)</f>
        <v>3.0717592592592591E-2</v>
      </c>
      <c r="H26" s="53">
        <f>SUM(H10,I11,J12,K13,L14,M15,N16,O17,P18,Q19,R20,S21,T22,U23,V24,W25,X26)</f>
        <v>2.8969907407407409E-2</v>
      </c>
      <c r="I26" s="53">
        <f>SUM(I11,J12,K13,L14,M15,N16,O17,P18,Q19,R20,S21,T22,U23,V24,W25,X26)</f>
        <v>2.6875E-2</v>
      </c>
      <c r="J26" s="53">
        <f>SUM(J12,K13,L14,M15,N16,O17,P18,Q19,R20,S21,T22,U23,V24,W25,X26)</f>
        <v>2.5462962962962965E-2</v>
      </c>
      <c r="K26" s="53">
        <f>SUM(K13,L14,M15,N16,O17,P18,Q19,R20,S21,T22,U23,V24,W25,X26)</f>
        <v>2.4074074074074074E-2</v>
      </c>
      <c r="L26" s="53">
        <f>SUM(L14,M15,N16,O17,P18,Q19,R20,S21,T22,U23,V24,W25,X26)</f>
        <v>2.210648148148148E-2</v>
      </c>
      <c r="M26" s="53">
        <f>SUM(M15,N16,O17,P18,Q19,R20,S21,T22,U23,V24,W25,X26)</f>
        <v>2.0555555555555556E-2</v>
      </c>
      <c r="N26" s="53">
        <f>SUM(N16,O17,P18,Q19,R20,S21,T22,U23,V24,W25,X26)</f>
        <v>1.90625E-2</v>
      </c>
      <c r="O26" s="53">
        <f>SUM(O17,P18,Q19,R20,S21,T22,U23,V24,W25,X26)</f>
        <v>1.7094907407407406E-2</v>
      </c>
      <c r="P26" s="53">
        <f>SUM(P18,Q19,R20,S21,T22,U23,V24,W25,X26)</f>
        <v>1.5300925925925924E-2</v>
      </c>
      <c r="Q26" s="53">
        <f>SUM(Q19,R20,S21,T22,U23,V24,W25,X26)</f>
        <v>1.3715277777777776E-2</v>
      </c>
      <c r="R26" s="53">
        <f>R20+S21+T22+U23+V24+W25+X26</f>
        <v>1.2303240740740741E-2</v>
      </c>
      <c r="S26" s="53">
        <f>S21+T22+U23+V24+W25+X26</f>
        <v>1.060185185185185E-2</v>
      </c>
      <c r="T26" s="53">
        <f>T22+U23+V24+W25+X26</f>
        <v>8.8310185185185176E-3</v>
      </c>
      <c r="U26" s="53">
        <f>U23+V24+W25+X26</f>
        <v>7.2222222222222228E-3</v>
      </c>
      <c r="V26" s="53">
        <f>V24+W25+X26</f>
        <v>4.7800925925925927E-3</v>
      </c>
      <c r="W26" s="53">
        <f>W25+X26</f>
        <v>3.4837962962962965E-3</v>
      </c>
      <c r="X26" s="13">
        <v>1.4120370370370369E-3</v>
      </c>
      <c r="Y26" s="54"/>
    </row>
    <row r="27" spans="1:26" ht="20.100000000000001" customHeight="1" x14ac:dyDescent="0.2">
      <c r="B27" s="91" t="s">
        <v>117</v>
      </c>
      <c r="C27" s="80">
        <v>3.4722222222222224E-4</v>
      </c>
      <c r="D27" s="80">
        <v>3.4722222222222224E-4</v>
      </c>
      <c r="E27" s="80">
        <v>3.4722222222222224E-4</v>
      </c>
      <c r="F27" s="80">
        <v>3.4722222222222224E-4</v>
      </c>
      <c r="G27" s="80">
        <v>3.4722222222222224E-4</v>
      </c>
      <c r="H27" s="80">
        <v>3.4722222222222224E-4</v>
      </c>
      <c r="I27" s="80">
        <v>3.4722222222222224E-4</v>
      </c>
      <c r="J27" s="80">
        <v>3.4722222222222224E-4</v>
      </c>
      <c r="K27" s="80">
        <v>3.4722222222222224E-4</v>
      </c>
      <c r="L27" s="80">
        <v>3.4722222222222224E-4</v>
      </c>
      <c r="M27" s="80">
        <v>3.4722222222222224E-4</v>
      </c>
      <c r="N27" s="80">
        <v>3.4722222222222224E-4</v>
      </c>
      <c r="O27" s="80">
        <v>3.4722222222222224E-4</v>
      </c>
      <c r="P27" s="80">
        <v>3.4722222222222224E-4</v>
      </c>
      <c r="Q27" s="80">
        <v>3.4722222222222224E-4</v>
      </c>
      <c r="R27" s="80">
        <v>3.4722222222222224E-4</v>
      </c>
      <c r="S27" s="80">
        <v>3.4722222222222224E-4</v>
      </c>
      <c r="T27" s="80">
        <v>3.4722222222222224E-4</v>
      </c>
      <c r="U27" s="80">
        <v>3.4722222222222224E-4</v>
      </c>
      <c r="V27" s="80">
        <v>3.4722222222222224E-4</v>
      </c>
      <c r="W27" s="80">
        <v>3.4722222222222224E-4</v>
      </c>
      <c r="X27" s="80">
        <v>3.4722222222222224E-4</v>
      </c>
    </row>
  </sheetData>
  <sheetProtection selectLockedCells="1" selectUnlockedCells="1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T22"/>
  <sheetViews>
    <sheetView windowProtection="1" topLeftCell="B10" workbookViewId="0">
      <selection activeCell="G29" sqref="G29"/>
    </sheetView>
  </sheetViews>
  <sheetFormatPr defaultRowHeight="20.100000000000001" customHeight="1" x14ac:dyDescent="0.2"/>
  <cols>
    <col min="1" max="1" width="12.85546875" style="2" customWidth="1"/>
    <col min="2" max="2" width="10.5703125" style="32" customWidth="1"/>
    <col min="3" max="19" width="8.7109375" style="32" customWidth="1"/>
    <col min="20" max="20" width="10.7109375" style="32" bestFit="1" customWidth="1"/>
    <col min="21" max="16384" width="9.140625" style="2"/>
  </cols>
  <sheetData>
    <row r="1" spans="1:20" ht="39.950000000000003" customHeight="1" x14ac:dyDescent="0.2">
      <c r="A1" s="30">
        <v>1.3888888888888889E-3</v>
      </c>
      <c r="B1" s="71" t="s">
        <v>25</v>
      </c>
      <c r="C1" s="71"/>
      <c r="D1" s="71"/>
      <c r="E1" s="71"/>
      <c r="F1" s="71"/>
      <c r="G1" s="71"/>
      <c r="H1" s="71"/>
      <c r="I1" s="71"/>
      <c r="J1" s="65" t="s">
        <v>98</v>
      </c>
      <c r="K1" s="67"/>
      <c r="L1" s="71"/>
      <c r="M1" s="67" t="s">
        <v>99</v>
      </c>
      <c r="N1" s="71"/>
      <c r="O1" s="71"/>
      <c r="P1" s="71"/>
      <c r="Q1" s="71"/>
      <c r="R1" s="71"/>
      <c r="S1" s="71"/>
      <c r="T1" s="63"/>
    </row>
    <row r="2" spans="1:20" ht="20.100000000000001" customHeight="1" x14ac:dyDescent="0.2">
      <c r="A2" s="68" t="s">
        <v>0</v>
      </c>
      <c r="B2" s="68" t="s">
        <v>7</v>
      </c>
      <c r="C2" s="68" t="s">
        <v>6</v>
      </c>
      <c r="D2" s="68" t="s">
        <v>81</v>
      </c>
      <c r="E2" s="68" t="s">
        <v>84</v>
      </c>
      <c r="F2" s="68" t="s">
        <v>85</v>
      </c>
      <c r="G2" s="68" t="s">
        <v>82</v>
      </c>
      <c r="H2" s="68" t="s">
        <v>86</v>
      </c>
      <c r="I2" s="68" t="s">
        <v>83</v>
      </c>
      <c r="J2" s="68" t="s">
        <v>87</v>
      </c>
      <c r="K2" s="68" t="s">
        <v>88</v>
      </c>
      <c r="L2" s="68" t="s">
        <v>89</v>
      </c>
      <c r="M2" s="68" t="s">
        <v>90</v>
      </c>
      <c r="N2" s="68" t="s">
        <v>91</v>
      </c>
      <c r="O2" s="68" t="s">
        <v>92</v>
      </c>
      <c r="P2" s="68" t="s">
        <v>93</v>
      </c>
      <c r="Q2" s="68" t="s">
        <v>94</v>
      </c>
      <c r="R2" s="68" t="s">
        <v>95</v>
      </c>
      <c r="S2" s="68" t="s">
        <v>96</v>
      </c>
      <c r="T2" s="31"/>
    </row>
    <row r="3" spans="1:20" ht="20.100000000000001" customHeight="1" x14ac:dyDescent="0.2">
      <c r="A3" s="68" t="str">
        <f>B2</f>
        <v>OSA</v>
      </c>
      <c r="B3" s="16"/>
      <c r="C3" s="24">
        <v>1.5740740740740741E-3</v>
      </c>
      <c r="D3" s="10">
        <f>C3+D4</f>
        <v>3.3680555555555556E-3</v>
      </c>
      <c r="E3" s="10">
        <f>C3+D4+E5</f>
        <v>5.0578703703703706E-3</v>
      </c>
      <c r="F3" s="10">
        <f>C3+D4+E5+F6</f>
        <v>7.4537037037037037E-3</v>
      </c>
      <c r="G3" s="10">
        <f>C3+D4+E5+F6+G7</f>
        <v>9.2013888888888892E-3</v>
      </c>
      <c r="H3" s="10">
        <f>C3+D4+E5+F6+G7+H8</f>
        <v>1.0590277777777778E-2</v>
      </c>
      <c r="I3" s="10">
        <f>C3+D4+E5+F6+G7+H8+I9</f>
        <v>1.2453703703703705E-2</v>
      </c>
      <c r="J3" s="10">
        <f>C3+D4+E5+F6+G7+H8+I9+J10</f>
        <v>1.3935185185185186E-2</v>
      </c>
      <c r="K3" s="10">
        <f>C3+D4+E5+F6+G7+H8+I9+J10+K11</f>
        <v>1.5625E-2</v>
      </c>
      <c r="L3" s="10">
        <f>C3+D4+E5+F6+G7+H8+I9+J10+K11+L12</f>
        <v>1.7615740740740741E-2</v>
      </c>
      <c r="M3" s="10">
        <f>C3+D4+E5+F6+G7+H8+I9+J10+K11+L12+M13</f>
        <v>1.9456018518518518E-2</v>
      </c>
      <c r="N3" s="10">
        <f>C3+D4+E5+F6+G7+H8+I9+J10+K11+L12+M13+N14</f>
        <v>2.2523148148148146E-2</v>
      </c>
      <c r="O3" s="10">
        <f>C3+D4+E5+F6+G7+H8+I9+J10+K11+L12+M13+N14+O15</f>
        <v>2.4085648148148148E-2</v>
      </c>
      <c r="P3" s="10">
        <f>C3+D4+E5+F6+G7+H8+I9+J10+K11+L12+M13+N14+O15+P16</f>
        <v>2.8055555555555556E-2</v>
      </c>
      <c r="Q3" s="5">
        <f>C3+D4+E5+F6+G7+H8+I9+J10+K11+L12+M13+N14+O15+P16+Q17</f>
        <v>3.1585648148148147E-2</v>
      </c>
      <c r="R3" s="5">
        <f>C3+D4+E5+F6+G7+H8+I9+J10+K11+L12+M13+N14+O15+P16+Q17+R18</f>
        <v>3.3935185185185186E-2</v>
      </c>
      <c r="S3" s="5">
        <f>C3+D4+E5+F6+G7+H8+I9+J10+K11+L12+M13+N14+O15+P16+Q17+R18+S19</f>
        <v>3.8252314814814815E-2</v>
      </c>
      <c r="T3" s="91" t="s">
        <v>117</v>
      </c>
    </row>
    <row r="4" spans="1:20" ht="20.100000000000001" customHeight="1" x14ac:dyDescent="0.2">
      <c r="A4" s="68" t="str">
        <f>C2</f>
        <v>PAL</v>
      </c>
      <c r="B4" s="17">
        <v>2.0138888888888888E-3</v>
      </c>
      <c r="C4" s="16"/>
      <c r="D4" s="24">
        <v>1.7939814814814815E-3</v>
      </c>
      <c r="E4" s="10">
        <f>D4+E5</f>
        <v>3.4837962962962965E-3</v>
      </c>
      <c r="F4" s="10">
        <f>D4+E5+F6</f>
        <v>5.8796296296296305E-3</v>
      </c>
      <c r="G4" s="10">
        <f>D4+E5+F6+G7</f>
        <v>7.6273148148148159E-3</v>
      </c>
      <c r="H4" s="10">
        <f>D4+E5+F6+G7+H8</f>
        <v>9.0162037037037051E-3</v>
      </c>
      <c r="I4" s="10">
        <f>D4+E5+F6+G7+H8+I9</f>
        <v>1.0879629629629631E-2</v>
      </c>
      <c r="J4" s="10">
        <f>D4+E5+F6+G7+H8+I9+J10</f>
        <v>1.2361111111111113E-2</v>
      </c>
      <c r="K4" s="10">
        <f>D4+E5+F6+G7+H8+I9+J10+K11</f>
        <v>1.4050925925925929E-2</v>
      </c>
      <c r="L4" s="10">
        <f>D4+E5+F6+G7+H8+I9+J10+K11+L12</f>
        <v>1.6041666666666669E-2</v>
      </c>
      <c r="M4" s="10">
        <f>D4+E5+F6+G7+H8+I9+J10+K11+L12+M13</f>
        <v>1.7881944444444447E-2</v>
      </c>
      <c r="N4" s="10">
        <f>D4+E5+F6+G7+H8+I9+J10+K11+L12+M13+N14</f>
        <v>2.0949074074074078E-2</v>
      </c>
      <c r="O4" s="10">
        <f>D4+E5+F6+G7+H8+I9+J10+K11+L12+M13+N14+O15</f>
        <v>2.251157407407408E-2</v>
      </c>
      <c r="P4" s="10">
        <f>D4+E5+F6+G7+H8+I9+J10+K11+L12+M13+N14+O15+P16</f>
        <v>2.6481481481481488E-2</v>
      </c>
      <c r="Q4" s="5">
        <f>D4+E5+F6+G7+H8+I9+J10+K11+L12+M13+N14+O15+P16+Q17</f>
        <v>3.0011574074074079E-2</v>
      </c>
      <c r="R4" s="5">
        <f>D4+E5+F6+G7+H8+I9+J10+K11+L12+M13+N14+O15+P16+Q17+R18</f>
        <v>3.2361111111111118E-2</v>
      </c>
      <c r="S4" s="5">
        <f>D4+E5+F6+G7+H8+I9+J10+K11+L12+M13+N14+O15+P16+Q17+R18+S19</f>
        <v>3.6678240740740747E-2</v>
      </c>
      <c r="T4" s="80">
        <v>3.4722222222222224E-4</v>
      </c>
    </row>
    <row r="5" spans="1:20" ht="20.100000000000001" customHeight="1" x14ac:dyDescent="0.2">
      <c r="A5" s="68" t="str">
        <f>D2</f>
        <v>CEA</v>
      </c>
      <c r="B5" s="18">
        <f>B4+C5</f>
        <v>3.8425925925925928E-3</v>
      </c>
      <c r="C5" s="17">
        <v>1.8287037037037037E-3</v>
      </c>
      <c r="D5" s="16"/>
      <c r="E5" s="24">
        <v>1.689814814814815E-3</v>
      </c>
      <c r="F5" s="10">
        <f>E5+F6</f>
        <v>4.085648148148149E-3</v>
      </c>
      <c r="G5" s="10">
        <f>E5+F6+G7</f>
        <v>5.8333333333333345E-3</v>
      </c>
      <c r="H5" s="10">
        <f>E5+F6+G7+H8</f>
        <v>7.2222222222222236E-3</v>
      </c>
      <c r="I5" s="10">
        <f>E5+F6+G7+H8+I9</f>
        <v>9.08564814814815E-3</v>
      </c>
      <c r="J5" s="10">
        <f>E5+F6+G7+H8+I9+J10</f>
        <v>1.0567129629629631E-2</v>
      </c>
      <c r="K5" s="10">
        <f>E5+F6+G7+H8+I9+J10+K11</f>
        <v>1.2256944444444445E-2</v>
      </c>
      <c r="L5" s="10">
        <f>E5+F6+G7+H8+I9+J10+K11+L12</f>
        <v>1.4247685185185186E-2</v>
      </c>
      <c r="M5" s="10">
        <f>E5+F6+G7+H8+I9+J10+K11+L12+M13</f>
        <v>1.6087962962962964E-2</v>
      </c>
      <c r="N5" s="10">
        <f>E5+F6+G7+H8+I9+J10+K11+L12+M13+N14</f>
        <v>1.9155092592592592E-2</v>
      </c>
      <c r="O5" s="10">
        <f>E5+F6+G7+H8+I9+J10+K11+L12+M13+N14+O15</f>
        <v>2.0717592592592593E-2</v>
      </c>
      <c r="P5" s="10">
        <f>E5+F6+G7+H8+I9+J10+K11+L12+M13+N14+O15+P16</f>
        <v>2.4687500000000001E-2</v>
      </c>
      <c r="Q5" s="5">
        <f>E5+F6+G7+H8+I9+J10+K11+L12+M13+N14+O15+P16+Q17</f>
        <v>2.8217592592592593E-2</v>
      </c>
      <c r="R5" s="5">
        <f>E5+F6+G7+H8+I9+J10+K11+L12+M13+N14+O15+P16+Q17+R18</f>
        <v>3.0567129629629632E-2</v>
      </c>
      <c r="S5" s="5">
        <f>E5+F6+G7+H8+I9+J10+K11+L12+M13+N14+O15+P16+Q17+R18+S19</f>
        <v>3.4884259259259261E-2</v>
      </c>
      <c r="T5" s="80">
        <v>3.4722222222222224E-4</v>
      </c>
    </row>
    <row r="6" spans="1:20" ht="20.100000000000001" customHeight="1" x14ac:dyDescent="0.2">
      <c r="A6" s="68" t="str">
        <f>E2</f>
        <v>JAG</v>
      </c>
      <c r="B6" s="18">
        <f>B4+C5+D6</f>
        <v>5.5324074074074078E-3</v>
      </c>
      <c r="C6" s="18">
        <f>C5+D6</f>
        <v>3.5185185185185189E-3</v>
      </c>
      <c r="D6" s="17">
        <v>1.689814814814815E-3</v>
      </c>
      <c r="E6" s="16"/>
      <c r="F6" s="24">
        <v>2.3958333333333336E-3</v>
      </c>
      <c r="G6" s="10">
        <f>F6+G7</f>
        <v>4.1435185185185186E-3</v>
      </c>
      <c r="H6" s="10">
        <f>F6+G7+H8</f>
        <v>5.5324074074074078E-3</v>
      </c>
      <c r="I6" s="10">
        <f>F6+G7+H8+I9</f>
        <v>7.3958333333333341E-3</v>
      </c>
      <c r="J6" s="10">
        <f>F6+G7+H8+I9+J10</f>
        <v>8.8773148148148153E-3</v>
      </c>
      <c r="K6" s="10">
        <f>F6+G7+H8+I9+J10+K11</f>
        <v>1.0567129629629631E-2</v>
      </c>
      <c r="L6" s="10">
        <f>F6+G7+H8+I9+J10+K11+L12</f>
        <v>1.2557870370370372E-2</v>
      </c>
      <c r="M6" s="10">
        <f>F6+G7+H8+I9+J10+K11+L12+M13</f>
        <v>1.4398148148148149E-2</v>
      </c>
      <c r="N6" s="10">
        <f>F6+G7+H8+I9+J10+K11+L12+M13+N14</f>
        <v>1.7465277777777781E-2</v>
      </c>
      <c r="O6" s="10">
        <f>F6+G7+H8+I9+J10+K11+L12+M13+N14+O15</f>
        <v>1.9027777777777782E-2</v>
      </c>
      <c r="P6" s="10">
        <f>F6+G7+H8+I9+J10+K11+L12+M13+N14+O15+P16</f>
        <v>2.299768518518519E-2</v>
      </c>
      <c r="Q6" s="5">
        <f>F6+G7+H8+I9+J10+K11+L12+M13+N14+O15+P16+Q17</f>
        <v>2.6527777777777782E-2</v>
      </c>
      <c r="R6" s="5">
        <f>F6+G7+H8+I9+J10+K11+L12+M13+N14+O15+P16+Q17+R18</f>
        <v>2.8877314814814821E-2</v>
      </c>
      <c r="S6" s="5">
        <f>F6+G7+H8+I9+J10+K11+L12+M13+N14+O15+P16+Q17+R18+S19</f>
        <v>3.319444444444445E-2</v>
      </c>
      <c r="T6" s="80">
        <v>3.4722222222222224E-4</v>
      </c>
    </row>
    <row r="7" spans="1:20" ht="20.100000000000001" customHeight="1" x14ac:dyDescent="0.2">
      <c r="A7" s="68" t="str">
        <f>F2</f>
        <v>USP</v>
      </c>
      <c r="B7" s="18">
        <f>B4+C5+D6+E7</f>
        <v>7.9282407407407409E-3</v>
      </c>
      <c r="C7" s="18">
        <f>C5+D6+E7</f>
        <v>5.9143518518518529E-3</v>
      </c>
      <c r="D7" s="18">
        <f>D6+E7</f>
        <v>4.085648148148149E-3</v>
      </c>
      <c r="E7" s="17">
        <v>2.3958333333333336E-3</v>
      </c>
      <c r="F7" s="16"/>
      <c r="G7" s="24">
        <v>1.7476851851851852E-3</v>
      </c>
      <c r="H7" s="10">
        <f>G7+H8</f>
        <v>3.1365740740740742E-3</v>
      </c>
      <c r="I7" s="10">
        <f>G7+H8+I9</f>
        <v>5.0000000000000001E-3</v>
      </c>
      <c r="J7" s="10">
        <f>G7+H8+I9+J10</f>
        <v>6.4814814814814813E-3</v>
      </c>
      <c r="K7" s="10">
        <f>G7+H8+I9+J10+K11</f>
        <v>8.1712962962962963E-3</v>
      </c>
      <c r="L7" s="10">
        <f>G7+H8+I9+J10+K11+L12</f>
        <v>1.0162037037037037E-2</v>
      </c>
      <c r="M7" s="10">
        <f>G7+H8+I9+J10+K11+L12+M13</f>
        <v>1.2002314814814815E-2</v>
      </c>
      <c r="N7" s="10">
        <f>G7+H8+I9+J10+K11+L12+M13+N14</f>
        <v>1.5069444444444444E-2</v>
      </c>
      <c r="O7" s="10">
        <f>G7+H8+I9+J10+K11+L12+M13+N14+O15</f>
        <v>1.6631944444444446E-2</v>
      </c>
      <c r="P7" s="10">
        <f>G7+H8+I9+J10+K11+L12+M13+N14+O15+P16</f>
        <v>2.0601851851851854E-2</v>
      </c>
      <c r="Q7" s="5">
        <f>G7+H8+I9+J10+K11+L12+M13+N14+O15+P16+Q17</f>
        <v>2.4131944444444445E-2</v>
      </c>
      <c r="R7" s="5">
        <f>G7+H8+I9+J10+K11+L12+M13+N14+O15+P16+Q17+R18</f>
        <v>2.6481481481481481E-2</v>
      </c>
      <c r="S7" s="5">
        <f>G7+H8+I9+J10+K11+L12+M13+N14+O15+P16+Q17+R18+S19</f>
        <v>3.079861111111111E-2</v>
      </c>
      <c r="T7" s="80">
        <v>3.4722222222222224E-4</v>
      </c>
    </row>
    <row r="8" spans="1:20" ht="20.100000000000001" customHeight="1" x14ac:dyDescent="0.2">
      <c r="A8" s="68" t="str">
        <f>G2</f>
        <v>PIN</v>
      </c>
      <c r="B8" s="18">
        <f>B4+C5+D6+E7+F8</f>
        <v>9.6643518518518511E-3</v>
      </c>
      <c r="C8" s="18">
        <f>C5+D6+E7+F8</f>
        <v>7.6504629629629639E-3</v>
      </c>
      <c r="D8" s="18">
        <f>D6+E7+F8</f>
        <v>5.82175925925926E-3</v>
      </c>
      <c r="E8" s="18">
        <f>E7+F8</f>
        <v>4.131944444444445E-3</v>
      </c>
      <c r="F8" s="17">
        <v>1.736111111111111E-3</v>
      </c>
      <c r="G8" s="16"/>
      <c r="H8" s="24">
        <v>1.3888888888888889E-3</v>
      </c>
      <c r="I8" s="10">
        <f>H8+I9</f>
        <v>3.2523148148148151E-3</v>
      </c>
      <c r="J8" s="10">
        <f>H8+I9+J10</f>
        <v>4.7337962962962967E-3</v>
      </c>
      <c r="K8" s="10">
        <f>H8+I9+J10+K11</f>
        <v>6.4236111111111117E-3</v>
      </c>
      <c r="L8" s="10">
        <f>H8+I9+J10+K11+L12</f>
        <v>8.4143518518518534E-3</v>
      </c>
      <c r="M8" s="10">
        <f>H8+I9+J10+K11+L12+M13</f>
        <v>1.0254629629629631E-2</v>
      </c>
      <c r="N8" s="10">
        <f>H8+I9+J10+K11+L12+M13+N14</f>
        <v>1.3321759259259261E-2</v>
      </c>
      <c r="O8" s="10">
        <f>H8+I9+J10+K11+L12+M13+N14+O15</f>
        <v>1.488425925925926E-2</v>
      </c>
      <c r="P8" s="10">
        <f>H8+I9+J10+K11+L12+M13+N14+O15+P16</f>
        <v>1.8854166666666668E-2</v>
      </c>
      <c r="Q8" s="5">
        <f>H8+I9+J10+K11+L12+M13+N14+O15+P16+Q17</f>
        <v>2.238425925925926E-2</v>
      </c>
      <c r="R8" s="5">
        <f>+H8+I9+J10+K11+L12+M13+N14+O15+P16+Q17+R18</f>
        <v>2.4733796296296295E-2</v>
      </c>
      <c r="S8" s="5">
        <f>H8+I9+J10+K11+L12+M13+N14+O15+P16+Q17+R18+S19</f>
        <v>2.9050925925925924E-2</v>
      </c>
      <c r="T8" s="80">
        <v>3.4722222222222224E-4</v>
      </c>
    </row>
    <row r="9" spans="1:20" ht="20.100000000000001" customHeight="1" x14ac:dyDescent="0.2">
      <c r="A9" s="68" t="str">
        <f>H2</f>
        <v>EMT</v>
      </c>
      <c r="B9" s="18">
        <f>B4+C5+D6+E7+F8+G9</f>
        <v>1.105324074074074E-2</v>
      </c>
      <c r="C9" s="18">
        <f>C5+D6+E7+F8+G9</f>
        <v>9.0393518518518522E-3</v>
      </c>
      <c r="D9" s="18">
        <f>D6+E7+F8+G9</f>
        <v>7.2106481481481492E-3</v>
      </c>
      <c r="E9" s="18">
        <f>E7+F8+G9</f>
        <v>5.5208333333333342E-3</v>
      </c>
      <c r="F9" s="18">
        <f>F8+G9</f>
        <v>3.1250000000000002E-3</v>
      </c>
      <c r="G9" s="17">
        <v>1.3888888888888889E-3</v>
      </c>
      <c r="H9" s="16"/>
      <c r="I9" s="24">
        <v>1.8634259259259261E-3</v>
      </c>
      <c r="J9" s="10">
        <f>I9+J10</f>
        <v>3.3449074074074076E-3</v>
      </c>
      <c r="K9" s="10">
        <f>I9+J10+K11</f>
        <v>5.0347222222222225E-3</v>
      </c>
      <c r="L9" s="10">
        <f>I9+J10+K11+L12</f>
        <v>7.0254629629629634E-3</v>
      </c>
      <c r="M9" s="10">
        <f>I9+J10+K11+L12+M13</f>
        <v>8.8657407407407417E-3</v>
      </c>
      <c r="N9" s="10">
        <f>I9+J10+K11+L12+M13+N14</f>
        <v>1.1932870370370371E-2</v>
      </c>
      <c r="O9" s="10">
        <f>I9+J10+K11+L12+M13+N14+O15</f>
        <v>1.3495370370370371E-2</v>
      </c>
      <c r="P9" s="10">
        <f>I9+J10+K11+L12+M13+N14+O15+P16</f>
        <v>1.7465277777777777E-2</v>
      </c>
      <c r="Q9" s="5">
        <f>+I9+J10+K11+L12+M13+N14+O15+P16+Q17</f>
        <v>2.0995370370370369E-2</v>
      </c>
      <c r="R9" s="5">
        <f>I9+J10+K11+L12+M13+N14+O15+P16+Q17+R18</f>
        <v>2.3344907407407404E-2</v>
      </c>
      <c r="S9" s="5">
        <f>I9+J10+K11+L12+M13+N14+O15+P16+Q17+R18+S19</f>
        <v>2.7662037037037034E-2</v>
      </c>
      <c r="T9" s="80">
        <v>3.4722222222222224E-4</v>
      </c>
    </row>
    <row r="10" spans="1:20" ht="20.100000000000001" customHeight="1" x14ac:dyDescent="0.2">
      <c r="A10" s="68" t="str">
        <f>I2</f>
        <v>CJD</v>
      </c>
      <c r="B10" s="18">
        <f>B4+C5+D6+E7+F8+G9+H10</f>
        <v>1.2916666666666667E-2</v>
      </c>
      <c r="C10" s="18">
        <f>C5+D6+E7+F8+G9+H10</f>
        <v>1.0902777777777779E-2</v>
      </c>
      <c r="D10" s="18">
        <f>D6+E7+F8+G9+H10</f>
        <v>9.0740740740740747E-3</v>
      </c>
      <c r="E10" s="18">
        <f>E7+F8+G9+H10</f>
        <v>7.3842592592592605E-3</v>
      </c>
      <c r="F10" s="18">
        <f>F8+G9+H10</f>
        <v>4.9884259259259265E-3</v>
      </c>
      <c r="G10" s="18">
        <f>G9+H10</f>
        <v>3.2523148148148151E-3</v>
      </c>
      <c r="H10" s="17">
        <v>1.8634259259259261E-3</v>
      </c>
      <c r="I10" s="16"/>
      <c r="J10" s="24">
        <v>1.4814814814814814E-3</v>
      </c>
      <c r="K10" s="10">
        <f>J10+K11</f>
        <v>3.1712962962962962E-3</v>
      </c>
      <c r="L10" s="10">
        <f>J10+K11+L12</f>
        <v>5.162037037037037E-3</v>
      </c>
      <c r="M10" s="10">
        <f>J10+K11+L12+M13</f>
        <v>7.0023148148148145E-3</v>
      </c>
      <c r="N10" s="10">
        <f>J10+K11+L12+M13+N14</f>
        <v>1.0069444444444443E-2</v>
      </c>
      <c r="O10" s="10">
        <f>J10+K11+L12+M13+N14+O15</f>
        <v>1.1631944444444443E-2</v>
      </c>
      <c r="P10" s="10">
        <f>J10+K11+L12+M13+N14+O15+P16</f>
        <v>1.5601851851851849E-2</v>
      </c>
      <c r="Q10" s="5">
        <f>J10+K11+L12+M13+N14+O15+P16+Q17</f>
        <v>1.9131944444444441E-2</v>
      </c>
      <c r="R10" s="5">
        <f>+J10+K11+L12+M13+N14+O15+P16+Q17+R18</f>
        <v>2.1481481481481476E-2</v>
      </c>
      <c r="S10" s="5">
        <f>J10+K11+L12+M13+N14+O15+P16+Q17+R18+S19</f>
        <v>2.5798611111111105E-2</v>
      </c>
      <c r="T10" s="80">
        <v>3.4722222222222224E-4</v>
      </c>
    </row>
    <row r="11" spans="1:20" ht="20.100000000000001" customHeight="1" x14ac:dyDescent="0.2">
      <c r="A11" s="68" t="str">
        <f>J2</f>
        <v>VOL</v>
      </c>
      <c r="B11" s="18">
        <f>B4+C5+D6+E7+F8+G9+H10+I11</f>
        <v>1.4363425925925925E-2</v>
      </c>
      <c r="C11" s="18">
        <f>C5+D6+E7+F8+G9+H10+I11</f>
        <v>1.2349537037037037E-2</v>
      </c>
      <c r="D11" s="18">
        <f>D6+E7+F8+G9+H10+I11</f>
        <v>1.0520833333333333E-2</v>
      </c>
      <c r="E11" s="18">
        <f>+E7+F8+G9+H10+I11</f>
        <v>8.8310185185185193E-3</v>
      </c>
      <c r="F11" s="18">
        <f>F8+G9+H10+I11</f>
        <v>6.4351851851851861E-3</v>
      </c>
      <c r="G11" s="18">
        <f>G9+H10+I11</f>
        <v>4.6990740740740743E-3</v>
      </c>
      <c r="H11" s="18">
        <f>H10+I11</f>
        <v>3.3101851851851855E-3</v>
      </c>
      <c r="I11" s="17">
        <v>1.4467592592592594E-3</v>
      </c>
      <c r="J11" s="16"/>
      <c r="K11" s="24">
        <v>1.689814814814815E-3</v>
      </c>
      <c r="L11" s="10">
        <f>K11+L12</f>
        <v>3.6805555555555558E-3</v>
      </c>
      <c r="M11" s="10">
        <f>K11+L12+M13</f>
        <v>5.5208333333333333E-3</v>
      </c>
      <c r="N11" s="10">
        <f>K11+L12+M13+N14</f>
        <v>8.5879629629629639E-3</v>
      </c>
      <c r="O11" s="10">
        <f>K11+L12+M13+N14+O15</f>
        <v>1.0150462962962964E-2</v>
      </c>
      <c r="P11" s="10">
        <f>K11+L12+M13+N14+O15+P16</f>
        <v>1.412037037037037E-2</v>
      </c>
      <c r="Q11" s="5">
        <f>K11+L12+M13+N14+O15+P16+Q17</f>
        <v>1.7650462962962962E-2</v>
      </c>
      <c r="R11" s="5">
        <f>+K11+L12+M13+N14+O15+P16+Q17+R18</f>
        <v>1.9999999999999997E-2</v>
      </c>
      <c r="S11" s="5">
        <f>K11+L12+M13+N14+O15+P16+Q17+R18+S19</f>
        <v>2.4317129629629626E-2</v>
      </c>
      <c r="T11" s="80">
        <v>3.4722222222222224E-4</v>
      </c>
    </row>
    <row r="12" spans="1:20" ht="20.100000000000001" customHeight="1" x14ac:dyDescent="0.2">
      <c r="A12" s="68" t="str">
        <f>K2</f>
        <v>BRR</v>
      </c>
      <c r="B12" s="18">
        <f>B4+C5+D6+E7+F8+G9+H10+I11+J12</f>
        <v>1.6041666666666666E-2</v>
      </c>
      <c r="C12" s="18">
        <f>C5+D6+E7+F8+G9+H10+I11+J12</f>
        <v>1.4027777777777778E-2</v>
      </c>
      <c r="D12" s="18">
        <f>D6+E7+F8+G9+H10+I11+J12</f>
        <v>1.2199074074074074E-2</v>
      </c>
      <c r="E12" s="18">
        <f>E7+F8+G9+H10+I11+J12</f>
        <v>1.050925925925926E-2</v>
      </c>
      <c r="F12" s="18">
        <f>F8+G9+H10+I11+J12</f>
        <v>8.1134259259259267E-3</v>
      </c>
      <c r="G12" s="18">
        <f>G9+H10+I11+J12</f>
        <v>6.3773148148148148E-3</v>
      </c>
      <c r="H12" s="18">
        <f>H10+I11+J12</f>
        <v>4.9884259259259257E-3</v>
      </c>
      <c r="I12" s="18">
        <f>I11+J12</f>
        <v>3.1250000000000002E-3</v>
      </c>
      <c r="J12" s="17">
        <v>1.6782407407407406E-3</v>
      </c>
      <c r="K12" s="16"/>
      <c r="L12" s="24">
        <v>1.9907407407407408E-3</v>
      </c>
      <c r="M12" s="10">
        <f>L12+M13</f>
        <v>3.8310185185185183E-3</v>
      </c>
      <c r="N12" s="10">
        <f>L12+M13+N14</f>
        <v>6.898148148148148E-3</v>
      </c>
      <c r="O12" s="10">
        <f>L12+M13+N14+O15</f>
        <v>8.4606481481481477E-3</v>
      </c>
      <c r="P12" s="10">
        <f>L12+M13+N14+O15+P16</f>
        <v>1.2430555555555556E-2</v>
      </c>
      <c r="Q12" s="5">
        <f>+L12+M13+N14+O15+P16+Q17</f>
        <v>1.5960648148148147E-2</v>
      </c>
      <c r="R12" s="5">
        <f>+L12+M13+N14+O15+P16+Q17+R18</f>
        <v>1.8310185185185186E-2</v>
      </c>
      <c r="S12" s="5">
        <f>L12+M13+N14+O15+P16+Q17+R18+S19</f>
        <v>2.2627314814814815E-2</v>
      </c>
      <c r="T12" s="80">
        <v>3.4722222222222224E-4</v>
      </c>
    </row>
    <row r="13" spans="1:20" ht="20.100000000000001" customHeight="1" x14ac:dyDescent="0.2">
      <c r="A13" s="68" t="str">
        <f>L2</f>
        <v>MRB</v>
      </c>
      <c r="B13" s="18">
        <f>B4+C5+D6+E7+F8+G9+H10+I11+J12+K13</f>
        <v>1.8032407407407407E-2</v>
      </c>
      <c r="C13" s="18">
        <f>C5+D6+E7+F8+G9+H10+I11+J12+K13</f>
        <v>1.6018518518518519E-2</v>
      </c>
      <c r="D13" s="18">
        <f>D6+E7+F8+G9+H10+I11+J12+K13</f>
        <v>1.4189814814814815E-2</v>
      </c>
      <c r="E13" s="18">
        <f>E7+F8+G9+H10+I11+J12+K13</f>
        <v>1.2500000000000001E-2</v>
      </c>
      <c r="F13" s="18">
        <f>F8+G9+H10+I11+J12+K13</f>
        <v>1.0104166666666668E-2</v>
      </c>
      <c r="G13" s="18">
        <f>+G9+H10+I11+J12+K13</f>
        <v>8.3680555555555557E-3</v>
      </c>
      <c r="H13" s="18">
        <f>H10+I11+J12+K13</f>
        <v>6.9791666666666665E-3</v>
      </c>
      <c r="I13" s="18">
        <f>I11+J12+K13</f>
        <v>5.115740740740741E-3</v>
      </c>
      <c r="J13" s="18">
        <f>J12+K13</f>
        <v>3.6689814814814814E-3</v>
      </c>
      <c r="K13" s="17">
        <v>1.9907407407407408E-3</v>
      </c>
      <c r="L13" s="16"/>
      <c r="M13" s="24">
        <v>1.8402777777777777E-3</v>
      </c>
      <c r="N13" s="10">
        <f>M13+N14</f>
        <v>4.9074074074074072E-3</v>
      </c>
      <c r="O13" s="10">
        <f>M13+N14+O15</f>
        <v>6.4699074074074069E-3</v>
      </c>
      <c r="P13" s="10">
        <f>M13+N14+O15+P16</f>
        <v>1.0439814814814815E-2</v>
      </c>
      <c r="Q13" s="5">
        <f>M13+N14+O15+P16+Q17</f>
        <v>1.3969907407407407E-2</v>
      </c>
      <c r="R13" s="5">
        <f>M13+N14+O15+P16+Q17+R18</f>
        <v>1.6319444444444442E-2</v>
      </c>
      <c r="S13" s="5">
        <f>M13+N14+O15+P16+Q17+R18+S19</f>
        <v>2.0636574074074071E-2</v>
      </c>
      <c r="T13" s="80">
        <v>3.4722222222222224E-4</v>
      </c>
    </row>
    <row r="14" spans="1:20" ht="20.100000000000001" customHeight="1" x14ac:dyDescent="0.2">
      <c r="A14" s="68" t="str">
        <f>M2</f>
        <v>GJT</v>
      </c>
      <c r="B14" s="18">
        <f>B4+C5+D6+E7+F8+G9+H10+I11+J12+K13+L14</f>
        <v>1.9872685185185184E-2</v>
      </c>
      <c r="C14" s="18">
        <f>C5+D6+E7+F8+G9+H10+I11+J12+K13+L14</f>
        <v>1.7858796296296296E-2</v>
      </c>
      <c r="D14" s="18">
        <f>D6+E7+F8+G9+H10+I11+J12+K13+L14</f>
        <v>1.6030092592592592E-2</v>
      </c>
      <c r="E14" s="18">
        <f>E7+F8+G9+H10+I11+J12+K13+L14</f>
        <v>1.4340277777777778E-2</v>
      </c>
      <c r="F14" s="18">
        <f>F8+G9+H10+I11+J12+K13+L14</f>
        <v>1.1944444444444445E-2</v>
      </c>
      <c r="G14" s="18">
        <f>G9+H10+I11+J12+K13+L14</f>
        <v>1.0208333333333333E-2</v>
      </c>
      <c r="H14" s="18">
        <f>H10+I11+J12+K13+L14</f>
        <v>8.819444444444444E-3</v>
      </c>
      <c r="I14" s="18">
        <f>I11+J12+K13+L14</f>
        <v>6.9560185185185185E-3</v>
      </c>
      <c r="J14" s="18">
        <f>J12+K13+L14</f>
        <v>5.5092592592592589E-3</v>
      </c>
      <c r="K14" s="18">
        <f>K13+L14</f>
        <v>3.8310185185185183E-3</v>
      </c>
      <c r="L14" s="17">
        <v>1.8402777777777777E-3</v>
      </c>
      <c r="M14" s="16"/>
      <c r="N14" s="24">
        <v>3.0671296296296297E-3</v>
      </c>
      <c r="O14" s="10">
        <f>N14+O15</f>
        <v>4.6296296296296294E-3</v>
      </c>
      <c r="P14" s="10">
        <f>N14+O15+P16</f>
        <v>8.5995370370370375E-3</v>
      </c>
      <c r="Q14" s="5">
        <f>N14+O15+P16+Q17</f>
        <v>1.2129629629629629E-2</v>
      </c>
      <c r="R14" s="5">
        <f>N14+O15+P16+Q17+R18</f>
        <v>1.4479166666666666E-2</v>
      </c>
      <c r="S14" s="5">
        <f>N14+O15+P16+Q17+R18+S19</f>
        <v>1.8796296296296297E-2</v>
      </c>
      <c r="T14" s="80">
        <v>3.4722222222222224E-4</v>
      </c>
    </row>
    <row r="15" spans="1:20" ht="20.100000000000001" customHeight="1" x14ac:dyDescent="0.2">
      <c r="A15" s="68" t="str">
        <f>N2</f>
        <v>SAM</v>
      </c>
      <c r="B15" s="18">
        <f>B4+C5+D6+E7+F8+G9+H10+I11+J12+K13+L14+M15</f>
        <v>2.298611111111111E-2</v>
      </c>
      <c r="C15" s="18">
        <f>C5+D6+E7+F8+G9+H10+I11+J12+K13+L14+M15</f>
        <v>2.0972222222222222E-2</v>
      </c>
      <c r="D15" s="18">
        <f>D6+E7+F8+G9+H10+I11+J12+K13+L14+M15</f>
        <v>1.9143518518518518E-2</v>
      </c>
      <c r="E15" s="18">
        <f>E7+F8+G9+H10+I11+J12+K13+L14+M15</f>
        <v>1.7453703703703704E-2</v>
      </c>
      <c r="F15" s="18">
        <f>F8+G9+H10+I11+J12+K13+L14+M15</f>
        <v>1.5057870370370371E-2</v>
      </c>
      <c r="G15" s="18">
        <f>G9+H10+I11+J12+K13+L14+M15</f>
        <v>1.3321759259259259E-2</v>
      </c>
      <c r="H15" s="18">
        <f>+H10+I11+J12+K13+L14+M15</f>
        <v>1.193287037037037E-2</v>
      </c>
      <c r="I15" s="18">
        <f>I11+J12+K13+L14+M15</f>
        <v>1.0069444444444443E-2</v>
      </c>
      <c r="J15" s="18">
        <f>J12+K13+L14+M15</f>
        <v>8.6226851851851846E-3</v>
      </c>
      <c r="K15" s="18">
        <f>K13+L14+M15</f>
        <v>6.9444444444444441E-3</v>
      </c>
      <c r="L15" s="18">
        <f>+L14+M15</f>
        <v>4.9537037037037032E-3</v>
      </c>
      <c r="M15" s="17">
        <v>3.1134259259259257E-3</v>
      </c>
      <c r="N15" s="16"/>
      <c r="O15" s="24">
        <v>1.5624999999999999E-3</v>
      </c>
      <c r="P15" s="10">
        <f>O15+P16</f>
        <v>5.5324074074074069E-3</v>
      </c>
      <c r="Q15" s="5">
        <f>O15+P16+Q17</f>
        <v>9.0624999999999994E-3</v>
      </c>
      <c r="R15" s="5">
        <f>O15+P16+Q17+R18</f>
        <v>1.1412037037037037E-2</v>
      </c>
      <c r="S15" s="5">
        <f>+O15+P16+Q17+R18+S19</f>
        <v>1.5729166666666666E-2</v>
      </c>
      <c r="T15" s="80">
        <v>3.4722222222222224E-4</v>
      </c>
    </row>
    <row r="16" spans="1:20" ht="20.100000000000001" customHeight="1" x14ac:dyDescent="0.2">
      <c r="A16" s="68" t="str">
        <f>O2</f>
        <v>SOC</v>
      </c>
      <c r="B16" s="18">
        <f>B4+C5+D6+E7+F8+G9+H10+I11+J12+K13+L14+M15+N16</f>
        <v>2.4548611111111111E-2</v>
      </c>
      <c r="C16" s="18">
        <f>C5+D6+E7+F8+G9+H10+I11+J12+K13+L14+M15+N16</f>
        <v>2.2534722222222223E-2</v>
      </c>
      <c r="D16" s="18">
        <f>D6+E7+F8+G9+H10+I11+J12+K13+L14+M15+N16</f>
        <v>2.0706018518518519E-2</v>
      </c>
      <c r="E16" s="18">
        <f>E7+F8+G9+H10+I11+J12+K13+L14+M15+N16</f>
        <v>1.9016203703703705E-2</v>
      </c>
      <c r="F16" s="18">
        <f>F8+G9+H10+I11+J12+K13+L14+M15+N16</f>
        <v>1.6620370370370372E-2</v>
      </c>
      <c r="G16" s="18">
        <f>G9+H10+I11+J12+K13+L14+M15+N16</f>
        <v>1.4884259259259259E-2</v>
      </c>
      <c r="H16" s="18">
        <f>H10+I11+J12+K13+L14+M15+N16</f>
        <v>1.3495370370370369E-2</v>
      </c>
      <c r="I16" s="18">
        <f>I11+J12+K13+L14+M15+N16</f>
        <v>1.1631944444444443E-2</v>
      </c>
      <c r="J16" s="18">
        <f>J12+K13+L14+M15+N16</f>
        <v>1.0185185185185184E-2</v>
      </c>
      <c r="K16" s="18">
        <f>K13+L14+M15+N16</f>
        <v>8.5069444444444437E-3</v>
      </c>
      <c r="L16" s="18">
        <f>L14+M15+N16</f>
        <v>6.5162037037037029E-3</v>
      </c>
      <c r="M16" s="18">
        <f>L14+M15</f>
        <v>4.9537037037037032E-3</v>
      </c>
      <c r="N16" s="17">
        <v>1.5624999999999999E-3</v>
      </c>
      <c r="O16" s="16"/>
      <c r="P16" s="24">
        <v>3.9699074074074072E-3</v>
      </c>
      <c r="Q16" s="5">
        <f>P16+Q17</f>
        <v>7.4999999999999997E-3</v>
      </c>
      <c r="R16" s="5">
        <f>P16+Q17+R18</f>
        <v>9.8495370370370369E-3</v>
      </c>
      <c r="S16" s="5">
        <f>P16+Q17+R18+S19</f>
        <v>1.4166666666666668E-2</v>
      </c>
      <c r="T16" s="80">
        <v>3.4722222222222224E-4</v>
      </c>
    </row>
    <row r="17" spans="1:20" ht="20.100000000000001" customHeight="1" x14ac:dyDescent="0.2">
      <c r="A17" s="68" t="str">
        <f>P2</f>
        <v>JUR</v>
      </c>
      <c r="B17" s="18">
        <f>B4+C5+D6+E7+F8+G9+H10+I11+J12+K13+L14+M15+N16+O17</f>
        <v>2.6180555555555554E-2</v>
      </c>
      <c r="C17" s="18">
        <f>C5+D6+E7+F8+G9+H10+I11+J12+K13+L14+M15+N16+O17</f>
        <v>2.416666666666667E-2</v>
      </c>
      <c r="D17" s="18">
        <f>D6+E7+F8+G9+H10+I11+J12+K13+L14+M15+N16+O17</f>
        <v>2.2337962962962962E-2</v>
      </c>
      <c r="E17" s="18">
        <f>+E7+F8+G9+H10+I11+J12+K13+L14+M15+N16+O17</f>
        <v>2.0648148148148152E-2</v>
      </c>
      <c r="F17" s="18">
        <f>F8+G9+H10+I11+J12+K13+L14+M15+N16+O17</f>
        <v>1.8252314814814818E-2</v>
      </c>
      <c r="G17" s="18">
        <f>G9+H10+I11+J12+K13+L14+M15+N16+O17</f>
        <v>1.6516203703703703E-2</v>
      </c>
      <c r="H17" s="18">
        <f>H10+I11+J12+K13+L14+M15+N16+O17</f>
        <v>1.5127314814814814E-2</v>
      </c>
      <c r="I17" s="18">
        <f>I11+J12+K13+L14+M15+N16+O17</f>
        <v>1.3263888888888888E-2</v>
      </c>
      <c r="J17" s="18">
        <f>J12+K13+L14+M15+N16+O17</f>
        <v>1.1817129629629629E-2</v>
      </c>
      <c r="K17" s="18">
        <f>K13+L14+M15+N16+O17</f>
        <v>1.0138888888888888E-2</v>
      </c>
      <c r="L17" s="18">
        <f>L14+M15+N16+O17</f>
        <v>8.1481481481481474E-3</v>
      </c>
      <c r="M17" s="18">
        <f>M15+N16+O17</f>
        <v>6.3078703703703699E-3</v>
      </c>
      <c r="N17" s="18">
        <f>N16+O17</f>
        <v>3.1944444444444442E-3</v>
      </c>
      <c r="O17" s="17">
        <v>1.6319444444444445E-3</v>
      </c>
      <c r="P17" s="16"/>
      <c r="Q17" s="57">
        <v>3.530092592592592E-3</v>
      </c>
      <c r="R17" s="5">
        <f>Q17+R18</f>
        <v>5.8796296296296287E-3</v>
      </c>
      <c r="S17" s="5">
        <f>Q17+R18+S19</f>
        <v>1.019675925925926E-2</v>
      </c>
      <c r="T17" s="80">
        <v>3.4722222222222224E-4</v>
      </c>
    </row>
    <row r="18" spans="1:20" ht="20.100000000000001" customHeight="1" x14ac:dyDescent="0.2">
      <c r="A18" s="68" t="str">
        <f>Q2</f>
        <v>INT</v>
      </c>
      <c r="B18" s="7">
        <f>B4+C5+D6+E7+F8+G9+H10+I11+J12+K13+L14+M15+N16+O17+P18</f>
        <v>2.9988425925925925E-2</v>
      </c>
      <c r="C18" s="7">
        <f>C5+D6+E7+F8+G9+H10+I11+J12+K13+L14+M15+N16+O17+P18</f>
        <v>2.7974537037037041E-2</v>
      </c>
      <c r="D18" s="7">
        <f>D6+E7+F8+G9+H10+I11+J12+K13+L14+M15+N16+O17+P18</f>
        <v>2.6145833333333333E-2</v>
      </c>
      <c r="E18" s="7">
        <f>E7+F8+G9+H10+I11+J12+K13+L14+M15+N16+O17+P18</f>
        <v>2.4456018518518523E-2</v>
      </c>
      <c r="F18" s="7">
        <f>F8+G9+H10+I11+J12+K13+L14+M15+N16+O17+P18</f>
        <v>2.206018518518519E-2</v>
      </c>
      <c r="G18" s="7">
        <f>G9+H10+I11+J12+K13+L14+M15+N16+O17+P18</f>
        <v>2.0324074074074074E-2</v>
      </c>
      <c r="H18" s="7">
        <f>H10+I11+J12+K13+L14+M15+N16+O17+P18</f>
        <v>1.8935185185185183E-2</v>
      </c>
      <c r="I18" s="7">
        <f>I11+J12+K13+L14+M15+N16+O17+P18</f>
        <v>1.7071759259259259E-2</v>
      </c>
      <c r="J18" s="7">
        <f>J12+K13+L14+M15+N16+O17+P18</f>
        <v>1.5625E-2</v>
      </c>
      <c r="K18" s="7">
        <f>K13+L14+M15+N16+O17+P18</f>
        <v>1.3946759259259259E-2</v>
      </c>
      <c r="L18" s="7">
        <f>L14+M15+N16+O17+P18</f>
        <v>1.1956018518518519E-2</v>
      </c>
      <c r="M18" s="7">
        <f>M15+N16+O17+P18</f>
        <v>1.0115740740740741E-2</v>
      </c>
      <c r="N18" s="7">
        <f>N16+O17+P18</f>
        <v>7.0023148148148154E-3</v>
      </c>
      <c r="O18" s="7">
        <f>O17+P18</f>
        <v>5.4398148148148157E-3</v>
      </c>
      <c r="P18" s="58">
        <v>3.8078703703703707E-3</v>
      </c>
      <c r="Q18" s="4"/>
      <c r="R18" s="24">
        <v>2.3495370370370371E-3</v>
      </c>
      <c r="S18" s="5">
        <f>R18+S19</f>
        <v>6.6666666666666671E-3</v>
      </c>
      <c r="T18" s="80">
        <v>3.4722222222222224E-4</v>
      </c>
    </row>
    <row r="19" spans="1:20" ht="20.100000000000001" customHeight="1" x14ac:dyDescent="0.2">
      <c r="A19" s="68" t="str">
        <f>R2</f>
        <v>GRA</v>
      </c>
      <c r="B19" s="7">
        <f>B4+C5+D6+E7+F8+G9+H10+I11+J12+K13+L14+M15+N16+O17+P18+Q19</f>
        <v>3.2349537037037038E-2</v>
      </c>
      <c r="C19" s="7">
        <f>C5+D6+E7+F8+G9+H10+I11+J12+K13+L14+M15+N16+O17+P18+Q19</f>
        <v>3.0335648148148153E-2</v>
      </c>
      <c r="D19" s="7">
        <f>D6+E7+F8+G9+H10+I11+J12+K13+L14+M15+N16+O17+P18+Q19</f>
        <v>2.8506944444444446E-2</v>
      </c>
      <c r="E19" s="7">
        <f>E7+F8+G9+H10+I11+J12+K13+L14+M15+N16+O17+P18+Q19</f>
        <v>2.6817129629629635E-2</v>
      </c>
      <c r="F19" s="7">
        <f>F8+G9+H10+I11+J12+K13+L14+M15+N16+O17+P18+Q19</f>
        <v>2.4421296296296302E-2</v>
      </c>
      <c r="G19" s="7">
        <f>G9+H10+I11+J12+K13+L14+M15+N16+O17+P18+Q19</f>
        <v>2.2685185185185187E-2</v>
      </c>
      <c r="H19" s="7">
        <f>H10+I11+J12+K13+L14+M15+N16+O17+P18+Q19</f>
        <v>2.1296296296296296E-2</v>
      </c>
      <c r="I19" s="7">
        <f>I11+J12+K13+L14+M15+N16+O17+P18+Q19</f>
        <v>1.9432870370370371E-2</v>
      </c>
      <c r="J19" s="7">
        <f>J12+K13+L14+M15+N16+O17+P18+Q19</f>
        <v>1.7986111111111112E-2</v>
      </c>
      <c r="K19" s="7">
        <f>K13+L14+M15+N16+O17+P18+Q19</f>
        <v>1.6307870370370372E-2</v>
      </c>
      <c r="L19" s="7">
        <f>L14+M15+N16+O17+P18+Q19</f>
        <v>1.4317129629629629E-2</v>
      </c>
      <c r="M19" s="7">
        <f>M15+N16+O17+P18+Q19</f>
        <v>1.2476851851851852E-2</v>
      </c>
      <c r="N19" s="7">
        <f>N16+O17+P18+Q19</f>
        <v>9.3634259259259261E-3</v>
      </c>
      <c r="O19" s="7">
        <f>O17+P18+Q19</f>
        <v>7.8009259259259264E-3</v>
      </c>
      <c r="P19" s="7">
        <f>P18+Q19</f>
        <v>6.1689814814814819E-3</v>
      </c>
      <c r="Q19" s="58">
        <v>2.3611111111111111E-3</v>
      </c>
      <c r="R19" s="4"/>
      <c r="S19" s="24">
        <v>4.31712962962963E-3</v>
      </c>
      <c r="T19" s="80">
        <v>3.4722222222222224E-4</v>
      </c>
    </row>
    <row r="20" spans="1:20" ht="20.100000000000001" customHeight="1" x14ac:dyDescent="0.2">
      <c r="A20" s="68" t="str">
        <f>S2</f>
        <v>VAG</v>
      </c>
      <c r="B20" s="7">
        <f>B4+C5+D6+E7+F8+G9+H10+I11+J12+K13+L14+M15+N16+O17+P18+Q19+R20</f>
        <v>3.6388888888888887E-2</v>
      </c>
      <c r="C20" s="7">
        <f>C5+D6+E7+F8+G9+H10+I11+J12+K13+L14+M15+N16+O17+P18+Q19+R20</f>
        <v>3.4375000000000003E-2</v>
      </c>
      <c r="D20" s="7">
        <f>D6+E7+F8+G9+H10+I11+J12+K13+L14+M15+N16+O17+P18+Q19+R20</f>
        <v>3.2546296296296295E-2</v>
      </c>
      <c r="E20" s="7">
        <f>E7+F8+G9+H10+I11+J12+K13+L14+M15+N16+O17+P18+Q19+R20</f>
        <v>3.0856481481481488E-2</v>
      </c>
      <c r="F20" s="7">
        <f>F8+G9+H10+I11+J12+K13+L14+M15+N16+O17+P18+Q19+R20</f>
        <v>2.8460648148148155E-2</v>
      </c>
      <c r="G20" s="7">
        <f>G9+H10+I11+J12+K13+L14+M15+N16+O17+P18+Q19+R20</f>
        <v>2.672453703703704E-2</v>
      </c>
      <c r="H20" s="7">
        <f>H10+I11+J12+K13+L14+M15+N16+O17+P18+Q19+R20</f>
        <v>2.5335648148148149E-2</v>
      </c>
      <c r="I20" s="7">
        <f>I11+J12+K13+L14+M15+N16+O17+P18+Q19+R20</f>
        <v>2.3472222222222224E-2</v>
      </c>
      <c r="J20" s="7">
        <f>J12+K13+L14+M15+N16+O17+P18+Q19+R20</f>
        <v>2.2025462962962965E-2</v>
      </c>
      <c r="K20" s="7">
        <f>K13+L14+M15+N16+O17+P18+Q19+R20</f>
        <v>2.0347222222222225E-2</v>
      </c>
      <c r="L20" s="7">
        <f>L14+M15+N16+O17+P18+Q19+R20</f>
        <v>1.8356481481481481E-2</v>
      </c>
      <c r="M20" s="7">
        <f>M15+N16+O17+P18+Q19+R20</f>
        <v>1.6516203703703703E-2</v>
      </c>
      <c r="N20" s="7">
        <f>N16+O17+P18+Q19+R20</f>
        <v>1.3402777777777777E-2</v>
      </c>
      <c r="O20" s="7">
        <f>O17+P18+Q19+R20</f>
        <v>1.1840277777777779E-2</v>
      </c>
      <c r="P20" s="7">
        <f>P18+Q19+R20</f>
        <v>1.0208333333333333E-2</v>
      </c>
      <c r="Q20" s="7">
        <f>Q19+R20</f>
        <v>6.4004629629629637E-3</v>
      </c>
      <c r="R20" s="17">
        <v>4.0393518518518521E-3</v>
      </c>
      <c r="S20" s="4"/>
    </row>
    <row r="21" spans="1:20" ht="20.100000000000001" customHeight="1" x14ac:dyDescent="0.2">
      <c r="A21" s="1"/>
      <c r="B21" s="91" t="s">
        <v>117</v>
      </c>
      <c r="C21" s="80">
        <v>3.4722222222222224E-4</v>
      </c>
      <c r="D21" s="80">
        <v>3.4722222222222224E-4</v>
      </c>
      <c r="E21" s="80">
        <v>3.4722222222222224E-4</v>
      </c>
      <c r="F21" s="80">
        <v>3.4722222222222224E-4</v>
      </c>
      <c r="G21" s="80">
        <v>3.4722222222222224E-4</v>
      </c>
      <c r="H21" s="80">
        <v>3.4722222222222224E-4</v>
      </c>
      <c r="I21" s="80">
        <v>3.4722222222222224E-4</v>
      </c>
      <c r="J21" s="80">
        <v>3.4722222222222224E-4</v>
      </c>
      <c r="K21" s="80">
        <v>3.4722222222222224E-4</v>
      </c>
      <c r="L21" s="80">
        <v>3.4722222222222224E-4</v>
      </c>
      <c r="M21" s="80">
        <v>3.4722222222222224E-4</v>
      </c>
      <c r="N21" s="80">
        <v>3.4722222222222224E-4</v>
      </c>
      <c r="O21" s="80">
        <v>3.4722222222222224E-4</v>
      </c>
      <c r="P21" s="80">
        <v>3.4722222222222224E-4</v>
      </c>
      <c r="Q21" s="80">
        <v>3.4722222222222224E-4</v>
      </c>
      <c r="R21" s="80">
        <v>3.4722222222222224E-4</v>
      </c>
    </row>
    <row r="22" spans="1:20" ht="20.100000000000001" customHeight="1" x14ac:dyDescent="0.2">
      <c r="A22" s="1"/>
    </row>
  </sheetData>
  <sheetProtection selectLockedCells="1" selectUnlockedCells="1"/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T23"/>
  <sheetViews>
    <sheetView windowProtection="1" tabSelected="1" workbookViewId="0">
      <selection activeCell="N19" sqref="N19"/>
    </sheetView>
  </sheetViews>
  <sheetFormatPr defaultRowHeight="15" x14ac:dyDescent="0.25"/>
  <cols>
    <col min="1" max="1" width="12.85546875" style="25" customWidth="1"/>
    <col min="2" max="2" width="10.28515625" style="59" customWidth="1"/>
    <col min="3" max="14" width="9.140625" style="59"/>
    <col min="15" max="15" width="10.7109375" style="59" bestFit="1" customWidth="1"/>
    <col min="16" max="16384" width="9.140625" style="25"/>
  </cols>
  <sheetData>
    <row r="1" spans="1:20" ht="39.950000000000003" customHeight="1" x14ac:dyDescent="0.25">
      <c r="A1" s="30">
        <v>1.3888888888888889E-3</v>
      </c>
      <c r="B1" s="71" t="s">
        <v>97</v>
      </c>
      <c r="C1" s="71"/>
      <c r="D1" s="71"/>
      <c r="E1" s="71"/>
      <c r="F1" s="71"/>
      <c r="G1" s="71"/>
      <c r="H1" s="71"/>
      <c r="I1" s="71"/>
      <c r="J1" s="65" t="s">
        <v>102</v>
      </c>
      <c r="K1" s="67"/>
      <c r="L1" s="71"/>
      <c r="M1" s="67" t="s">
        <v>103</v>
      </c>
      <c r="N1" s="71"/>
      <c r="O1" s="63"/>
      <c r="P1" s="3"/>
      <c r="Q1" s="3"/>
      <c r="R1" s="3"/>
      <c r="S1" s="3"/>
      <c r="T1" s="3"/>
    </row>
    <row r="2" spans="1:20" ht="20.100000000000001" customHeight="1" x14ac:dyDescent="0.25">
      <c r="A2" s="68" t="s">
        <v>0</v>
      </c>
      <c r="B2" s="68" t="s">
        <v>82</v>
      </c>
      <c r="C2" s="68" t="s">
        <v>85</v>
      </c>
      <c r="D2" s="68" t="s">
        <v>84</v>
      </c>
      <c r="E2" s="68" t="s">
        <v>81</v>
      </c>
      <c r="F2" s="68" t="s">
        <v>6</v>
      </c>
      <c r="G2" s="68" t="s">
        <v>7</v>
      </c>
      <c r="H2" s="68" t="s">
        <v>8</v>
      </c>
      <c r="I2" s="68" t="s">
        <v>9</v>
      </c>
      <c r="J2" s="68" t="s">
        <v>10</v>
      </c>
      <c r="K2" s="68" t="s">
        <v>11</v>
      </c>
      <c r="L2" s="68" t="s">
        <v>12</v>
      </c>
      <c r="M2" s="68" t="s">
        <v>13</v>
      </c>
      <c r="N2" s="68" t="s">
        <v>14</v>
      </c>
      <c r="O2" s="32"/>
    </row>
    <row r="3" spans="1:20" ht="20.100000000000001" customHeight="1" x14ac:dyDescent="0.25">
      <c r="A3" s="68" t="str">
        <f>B2</f>
        <v>PIN</v>
      </c>
      <c r="B3" s="56"/>
      <c r="C3" s="24">
        <v>1.736111111111111E-3</v>
      </c>
      <c r="D3" s="61">
        <f>C3+D4</f>
        <v>4.131944444444445E-3</v>
      </c>
      <c r="E3" s="61">
        <f>C3+D4+E5</f>
        <v>5.82175925925926E-3</v>
      </c>
      <c r="F3" s="61">
        <f>C3+D4+E5+F6</f>
        <v>7.6504629629629639E-3</v>
      </c>
      <c r="G3" s="61">
        <f>C3+D4+E5+F6+G7</f>
        <v>9.3981481481481485E-3</v>
      </c>
      <c r="H3" s="61">
        <f>C3+D4+E5+F6+G7+H8</f>
        <v>1.1493055555555555E-2</v>
      </c>
      <c r="I3" s="61">
        <f>C3+D4+E5+F6+G7+H8+I9</f>
        <v>1.2905092592592591E-2</v>
      </c>
      <c r="J3" s="61">
        <f>C3+D4+E5+F6+G7+H8+I9+J10</f>
        <v>1.4270833333333332E-2</v>
      </c>
      <c r="K3" s="61">
        <f>C3+D4+E5+F6+G7+H8+I9+J10+K11</f>
        <v>1.6238425925925924E-2</v>
      </c>
      <c r="L3" s="61">
        <f>C3+D4+E5+F6+G7+H8+I9+J10+K11+L12</f>
        <v>1.7789351851851848E-2</v>
      </c>
      <c r="M3" s="61">
        <f>C3+D4+E5+F6+G7+H8+I9+J10+K11+L12+M13</f>
        <v>1.9317129629629625E-2</v>
      </c>
      <c r="N3" s="61">
        <f>C3+D4+E5+F6+G7+H8+I9+J10+K11+L12+M13+N14</f>
        <v>2.1284722222222219E-2</v>
      </c>
      <c r="O3" s="91" t="s">
        <v>117</v>
      </c>
    </row>
    <row r="4" spans="1:20" ht="20.100000000000001" customHeight="1" x14ac:dyDescent="0.25">
      <c r="A4" s="68" t="str">
        <f>C2</f>
        <v>USP</v>
      </c>
      <c r="B4" s="58">
        <v>1.7476851851851852E-3</v>
      </c>
      <c r="C4" s="56"/>
      <c r="D4" s="24">
        <v>2.3958333333333336E-3</v>
      </c>
      <c r="E4" s="61">
        <f>D4+E5</f>
        <v>4.085648148148149E-3</v>
      </c>
      <c r="F4" s="61">
        <f>D4+E5+F6</f>
        <v>5.9143518518518529E-3</v>
      </c>
      <c r="G4" s="61">
        <f>D4+E5+F6+G7</f>
        <v>7.6620370370370384E-3</v>
      </c>
      <c r="H4" s="61">
        <f>D4+E5+F6+G7+H8</f>
        <v>9.7569444444444466E-3</v>
      </c>
      <c r="I4" s="61">
        <f>D4+E5+F6+G7+H8+I9</f>
        <v>1.1168981481481483E-2</v>
      </c>
      <c r="J4" s="61">
        <f>D4+E5+F6+G7+H8+I9+J10</f>
        <v>1.2534722222222223E-2</v>
      </c>
      <c r="K4" s="61">
        <f>D4+E5+F6+G7+H8+I9+J10+K11</f>
        <v>1.4502314814814815E-2</v>
      </c>
      <c r="L4" s="61">
        <f>D4+E5+F6+G7+H8+I9+J10+K11+L12</f>
        <v>1.6053240740740743E-2</v>
      </c>
      <c r="M4" s="61">
        <f>D4+E5+F6+G7+H8+I9+J10+K11+L12+M13</f>
        <v>1.758101851851852E-2</v>
      </c>
      <c r="N4" s="61">
        <f>D4+E5+F6+G7+H8+I9+J10+K11+L12+M13+N14</f>
        <v>1.9548611111111114E-2</v>
      </c>
      <c r="O4" s="80">
        <v>3.4722222222222224E-4</v>
      </c>
    </row>
    <row r="5" spans="1:20" ht="20.100000000000001" customHeight="1" x14ac:dyDescent="0.25">
      <c r="A5" s="68" t="str">
        <f>D2</f>
        <v>JAG</v>
      </c>
      <c r="B5" s="55">
        <f>B4+C5</f>
        <v>4.1435185185185186E-3</v>
      </c>
      <c r="C5" s="58">
        <v>2.3958333333333336E-3</v>
      </c>
      <c r="D5" s="56"/>
      <c r="E5" s="24">
        <v>1.689814814814815E-3</v>
      </c>
      <c r="F5" s="62">
        <f>E5+F6</f>
        <v>3.5185185185185189E-3</v>
      </c>
      <c r="G5" s="61">
        <f>E5+F6+G7</f>
        <v>5.2662037037037044E-3</v>
      </c>
      <c r="H5" s="61">
        <f>E5+F6+G7+H8</f>
        <v>7.3611111111111117E-3</v>
      </c>
      <c r="I5" s="61">
        <f>E5+F6+G7+H8+I9</f>
        <v>8.773148148148148E-3</v>
      </c>
      <c r="J5" s="61">
        <f>E5+F6+G7+H8+I9+J10</f>
        <v>1.0138888888888888E-2</v>
      </c>
      <c r="K5" s="61">
        <f>E5+F6+G7+H8+I9+J10+K11</f>
        <v>1.2106481481481482E-2</v>
      </c>
      <c r="L5" s="61">
        <f>E5+F6+G7+H8+I9+J10+K11+L12</f>
        <v>1.3657407407407408E-2</v>
      </c>
      <c r="M5" s="61">
        <f>E5+F6+G7+H8+I9+J10+K11+L12+M13</f>
        <v>1.5185185185185185E-2</v>
      </c>
      <c r="N5" s="61">
        <f>E5+F6+G7+H8+I9+J10+K11+L12+M13+N14</f>
        <v>1.7152777777777777E-2</v>
      </c>
      <c r="O5" s="80">
        <v>3.4722222222222224E-4</v>
      </c>
    </row>
    <row r="6" spans="1:20" ht="20.100000000000001" customHeight="1" x14ac:dyDescent="0.25">
      <c r="A6" s="68" t="str">
        <f>E2</f>
        <v>CEA</v>
      </c>
      <c r="B6" s="53">
        <f>B4+C5+D6</f>
        <v>5.8333333333333336E-3</v>
      </c>
      <c r="C6" s="55">
        <f>C5+D6</f>
        <v>4.085648148148149E-3</v>
      </c>
      <c r="D6" s="58">
        <v>1.689814814814815E-3</v>
      </c>
      <c r="E6" s="56"/>
      <c r="F6" s="24">
        <v>1.8287037037037037E-3</v>
      </c>
      <c r="G6" s="61">
        <f>F6+G7</f>
        <v>3.5763888888888889E-3</v>
      </c>
      <c r="H6" s="61">
        <f>F6+G7+H8</f>
        <v>5.6712962962962958E-3</v>
      </c>
      <c r="I6" s="61">
        <f>F6+G7+H8+I9</f>
        <v>7.083333333333333E-3</v>
      </c>
      <c r="J6" s="61">
        <f>F6+G7+H8+I9+J10</f>
        <v>8.4490740740740741E-3</v>
      </c>
      <c r="K6" s="61">
        <f>F6+G7+H8+I9+J10+K11</f>
        <v>1.0416666666666668E-2</v>
      </c>
      <c r="L6" s="61">
        <f>F6+G7+H8+I9+J10+K11+L12</f>
        <v>1.1967592592592594E-2</v>
      </c>
      <c r="M6" s="61">
        <f>F6+G7+H8+I9+J10+K11+L12+M13</f>
        <v>1.3495370370370371E-2</v>
      </c>
      <c r="N6" s="61">
        <f>F6+G7+H8+I9+J10+K11+L12+M13+N14</f>
        <v>1.5462962962962963E-2</v>
      </c>
      <c r="O6" s="80">
        <v>3.4722222222222224E-4</v>
      </c>
    </row>
    <row r="7" spans="1:20" ht="20.100000000000001" customHeight="1" x14ac:dyDescent="0.25">
      <c r="A7" s="68" t="str">
        <f>F2</f>
        <v>PAL</v>
      </c>
      <c r="B7" s="53">
        <f>B4+C5+D6+E7</f>
        <v>7.6273148148148151E-3</v>
      </c>
      <c r="C7" s="53">
        <f>C5+D6+E7</f>
        <v>5.8796296296296305E-3</v>
      </c>
      <c r="D7" s="55">
        <f>D6+E7</f>
        <v>3.4837962962962965E-3</v>
      </c>
      <c r="E7" s="58">
        <v>1.7939814814814815E-3</v>
      </c>
      <c r="F7" s="23"/>
      <c r="G7" s="11">
        <v>1.7476851851851852E-3</v>
      </c>
      <c r="H7" s="12">
        <f>G7+H8</f>
        <v>3.8425925925925928E-3</v>
      </c>
      <c r="I7" s="12">
        <f>G7+H8+I9</f>
        <v>5.2546296296296299E-3</v>
      </c>
      <c r="J7" s="12">
        <f>G7+H8+I9+J10</f>
        <v>6.6203703703703711E-3</v>
      </c>
      <c r="K7" s="12">
        <f>G7+H8+I9+J10+K11</f>
        <v>8.5879629629629639E-3</v>
      </c>
      <c r="L7" s="12">
        <f>G7+H8+I9+J10+K11+L12</f>
        <v>1.013888888888889E-2</v>
      </c>
      <c r="M7" s="12">
        <f>G7+H8+I9+J10+K11+L12+M13</f>
        <v>1.1666666666666667E-2</v>
      </c>
      <c r="N7" s="12">
        <f>G7+H8+I9+J10+K11+L12+M13+N14</f>
        <v>1.3634259259259259E-2</v>
      </c>
      <c r="O7" s="80">
        <v>3.4722222222222224E-4</v>
      </c>
    </row>
    <row r="8" spans="1:20" ht="20.100000000000001" customHeight="1" x14ac:dyDescent="0.25">
      <c r="A8" s="68" t="str">
        <f>G2</f>
        <v>OSA</v>
      </c>
      <c r="B8" s="53">
        <f>B4+C5+D6+E7+F8</f>
        <v>9.3749999999999997E-3</v>
      </c>
      <c r="C8" s="53">
        <f>C5+D6+E7+F8</f>
        <v>7.6273148148148159E-3</v>
      </c>
      <c r="D8" s="53">
        <f>D6+E7+F8</f>
        <v>5.2314814814814819E-3</v>
      </c>
      <c r="E8" s="53">
        <f>E7+F8</f>
        <v>3.5416666666666669E-3</v>
      </c>
      <c r="F8" s="13">
        <v>1.7476851851851852E-3</v>
      </c>
      <c r="G8" s="15"/>
      <c r="H8" s="11">
        <v>2.0949074074074073E-3</v>
      </c>
      <c r="I8" s="12">
        <f>H8+I9</f>
        <v>3.5069444444444445E-3</v>
      </c>
      <c r="J8" s="12">
        <f>H8+I9+J10</f>
        <v>4.8726851851851856E-3</v>
      </c>
      <c r="K8" s="12">
        <f>H8+I9+J10+K11</f>
        <v>6.8402777777777785E-3</v>
      </c>
      <c r="L8" s="12">
        <f>H8+I9+J10+K11+L12</f>
        <v>8.3912037037037045E-3</v>
      </c>
      <c r="M8" s="12">
        <f>H8+I9+J10+K11+L12+M13</f>
        <v>9.9189814814814817E-3</v>
      </c>
      <c r="N8" s="12">
        <f>H8+I9+J10+K11+L12+M13+N14</f>
        <v>1.1886574074074074E-2</v>
      </c>
      <c r="O8" s="80">
        <v>3.4722222222222224E-4</v>
      </c>
    </row>
    <row r="9" spans="1:20" ht="20.100000000000001" customHeight="1" x14ac:dyDescent="0.25">
      <c r="A9" s="68" t="str">
        <f>H2</f>
        <v>CSA</v>
      </c>
      <c r="B9" s="53">
        <f>B4+C5+D6+E7+F8+G9</f>
        <v>1.1469907407407408E-2</v>
      </c>
      <c r="C9" s="53">
        <f>C5+D6+E7+F8+G9</f>
        <v>9.7222222222222224E-3</v>
      </c>
      <c r="D9" s="53">
        <f>D6+E7+F8+G9</f>
        <v>7.3263888888888892E-3</v>
      </c>
      <c r="E9" s="53">
        <f>E7+F8+G9</f>
        <v>5.6365740740740742E-3</v>
      </c>
      <c r="F9" s="14">
        <f>F8+G9</f>
        <v>3.8425925925925928E-3</v>
      </c>
      <c r="G9" s="13">
        <v>2.0949074074074073E-3</v>
      </c>
      <c r="H9" s="15"/>
      <c r="I9" s="11">
        <v>1.4120370370370369E-3</v>
      </c>
      <c r="J9" s="12">
        <f>I9+J10</f>
        <v>2.7777777777777779E-3</v>
      </c>
      <c r="K9" s="12">
        <f>I9+J10+K11</f>
        <v>4.7453703703703703E-3</v>
      </c>
      <c r="L9" s="12">
        <f>I9+J10+K11+L12</f>
        <v>6.2962962962962964E-3</v>
      </c>
      <c r="M9" s="12">
        <f>I9+J10+K11+L12+M13</f>
        <v>7.8240740740740736E-3</v>
      </c>
      <c r="N9" s="12">
        <f>I9+J10+K11+L12+M13+N14</f>
        <v>9.7916666666666673E-3</v>
      </c>
      <c r="O9" s="80">
        <v>3.4722222222222224E-4</v>
      </c>
    </row>
    <row r="10" spans="1:20" ht="20.100000000000001" customHeight="1" x14ac:dyDescent="0.25">
      <c r="A10" s="68" t="str">
        <f>I2</f>
        <v>QTU</v>
      </c>
      <c r="B10" s="53">
        <f>B4+C5+D6+E7+F8+G9+H10</f>
        <v>1.2881944444444444E-2</v>
      </c>
      <c r="C10" s="53">
        <f>C5+D6+E7+F8+G9+H10</f>
        <v>1.1134259259259259E-2</v>
      </c>
      <c r="D10" s="53">
        <f>D6+E7+F8+G9+H10</f>
        <v>8.7384259259259255E-3</v>
      </c>
      <c r="E10" s="53">
        <f>E7+F8+G9+H10</f>
        <v>7.0486111111111114E-3</v>
      </c>
      <c r="F10" s="14">
        <f>F8+G9+H10</f>
        <v>5.2546296296296299E-3</v>
      </c>
      <c r="G10" s="14">
        <f>G9+H10</f>
        <v>3.5069444444444445E-3</v>
      </c>
      <c r="H10" s="13">
        <v>1.4120370370370369E-3</v>
      </c>
      <c r="I10" s="15"/>
      <c r="J10" s="11">
        <v>1.3657407407407409E-3</v>
      </c>
      <c r="K10" s="12">
        <f>J10+K11</f>
        <v>3.333333333333334E-3</v>
      </c>
      <c r="L10" s="12">
        <f>J10+K11+L12</f>
        <v>4.8842592592592601E-3</v>
      </c>
      <c r="M10" s="12">
        <f>J10+K11+L12+M13</f>
        <v>6.4120370370370381E-3</v>
      </c>
      <c r="N10" s="12">
        <f>J10+K11+L12+M13+N14</f>
        <v>8.379629629629631E-3</v>
      </c>
      <c r="O10" s="80">
        <v>3.4722222222222224E-4</v>
      </c>
    </row>
    <row r="11" spans="1:20" ht="20.100000000000001" customHeight="1" x14ac:dyDescent="0.25">
      <c r="A11" s="68" t="str">
        <f>J2</f>
        <v>GMC</v>
      </c>
      <c r="B11" s="53">
        <f>B4+C5+D6+E7+F8+G9+H10+I11</f>
        <v>1.4270833333333333E-2</v>
      </c>
      <c r="C11" s="53">
        <f>C5+D6+E7+F8+G9+H10+I11</f>
        <v>1.2523148148148148E-2</v>
      </c>
      <c r="D11" s="53">
        <f>D6+E7+F8+G9+H10+I11</f>
        <v>1.0127314814814815E-2</v>
      </c>
      <c r="E11" s="53">
        <f>E7+F8+G9+H10+I11</f>
        <v>8.4375000000000006E-3</v>
      </c>
      <c r="F11" s="14">
        <f>F8+G9+H10+I11</f>
        <v>6.6435185185185191E-3</v>
      </c>
      <c r="G11" s="14">
        <f>G9+H10+I11</f>
        <v>4.8958333333333336E-3</v>
      </c>
      <c r="H11" s="14">
        <f>H10+I11</f>
        <v>2.8009259259259259E-3</v>
      </c>
      <c r="I11" s="13">
        <v>1.3888888888888889E-3</v>
      </c>
      <c r="J11" s="15"/>
      <c r="K11" s="11">
        <v>1.9675925925925928E-3</v>
      </c>
      <c r="L11" s="12">
        <f>K11+L12</f>
        <v>3.5185185185185189E-3</v>
      </c>
      <c r="M11" s="12">
        <f>K11+L12+M13</f>
        <v>5.046296296296297E-3</v>
      </c>
      <c r="N11" s="12">
        <f>K11+L12+M13+N14</f>
        <v>7.0138888888888898E-3</v>
      </c>
      <c r="O11" s="80">
        <v>3.4722222222222224E-4</v>
      </c>
    </row>
    <row r="12" spans="1:20" ht="20.100000000000001" customHeight="1" x14ac:dyDescent="0.25">
      <c r="A12" s="68" t="str">
        <f>K2</f>
        <v>CPB</v>
      </c>
      <c r="B12" s="53">
        <f>B4+C5+D6+E7+F8+G9+H10+I11+J12</f>
        <v>1.6238425925925927E-2</v>
      </c>
      <c r="C12" s="53">
        <f>C5+D6+E7+F8+G9+H10+I11+J12</f>
        <v>1.4490740740740742E-2</v>
      </c>
      <c r="D12" s="53">
        <f>D6+E7+F8+G9+H10+I11+J12</f>
        <v>1.2094907407407408E-2</v>
      </c>
      <c r="E12" s="53">
        <f>E7+F8+G9+H10+I11+J12</f>
        <v>1.0405092592592594E-2</v>
      </c>
      <c r="F12" s="14">
        <f>+F8+G9+H10+I11+J12</f>
        <v>8.611111111111111E-3</v>
      </c>
      <c r="G12" s="14">
        <f>G9+H10+I11+J12</f>
        <v>6.8634259259259265E-3</v>
      </c>
      <c r="H12" s="14">
        <f>H10+I11+J12</f>
        <v>4.7685185185185192E-3</v>
      </c>
      <c r="I12" s="14">
        <f>I11+J12</f>
        <v>3.356481481481482E-3</v>
      </c>
      <c r="J12" s="13">
        <v>1.9675925925925928E-3</v>
      </c>
      <c r="K12" s="15"/>
      <c r="L12" s="11">
        <v>1.5509259259259261E-3</v>
      </c>
      <c r="M12" s="12">
        <f>L12+M13</f>
        <v>3.0787037037037042E-3</v>
      </c>
      <c r="N12" s="12">
        <f>L12+M13+N14</f>
        <v>5.046296296296297E-3</v>
      </c>
      <c r="O12" s="80">
        <v>3.4722222222222224E-4</v>
      </c>
    </row>
    <row r="13" spans="1:20" ht="20.100000000000001" customHeight="1" x14ac:dyDescent="0.25">
      <c r="A13" s="68" t="str">
        <f>L2</f>
        <v>STE</v>
      </c>
      <c r="B13" s="53">
        <f>B4+C5+D6+E7+F8+G9+H10+I11+J12+K13</f>
        <v>1.7789351851851855E-2</v>
      </c>
      <c r="C13" s="53">
        <f>C5+D6+E7+F8+G9+H10+I11+J12+K13</f>
        <v>1.6041666666666669E-2</v>
      </c>
      <c r="D13" s="53">
        <f>D6+E7+F8+G9+H10+I11+J12+K13</f>
        <v>1.3645833333333334E-2</v>
      </c>
      <c r="E13" s="53">
        <f>E7+F8+G9+H10+I11+J12+K13</f>
        <v>1.195601851851852E-2</v>
      </c>
      <c r="F13" s="14">
        <f>F8+G9+H10+I11+J12+K13</f>
        <v>1.0162037037037037E-2</v>
      </c>
      <c r="G13" s="14">
        <f>G9+H10+I11+J12+K13</f>
        <v>8.4143518518518534E-3</v>
      </c>
      <c r="H13" s="14">
        <f>H10+I11+J12+K13</f>
        <v>6.3194444444444452E-3</v>
      </c>
      <c r="I13" s="14">
        <f>I11+J12+K13</f>
        <v>4.9074074074074081E-3</v>
      </c>
      <c r="J13" s="14">
        <f>J12+K13</f>
        <v>3.5185185185185189E-3</v>
      </c>
      <c r="K13" s="13">
        <v>1.5509259259259261E-3</v>
      </c>
      <c r="L13" s="15"/>
      <c r="M13" s="11">
        <v>1.5277777777777779E-3</v>
      </c>
      <c r="N13" s="12">
        <f>M13+N14</f>
        <v>3.4953703703703709E-3</v>
      </c>
      <c r="O13" s="80">
        <v>3.4722222222222224E-4</v>
      </c>
    </row>
    <row r="14" spans="1:20" ht="20.100000000000001" customHeight="1" x14ac:dyDescent="0.25">
      <c r="A14" s="68" t="str">
        <f>M2</f>
        <v>AJO</v>
      </c>
      <c r="B14" s="53">
        <f>B4+C5+D6+E7+F8+G9+H10+I11+J12+K13+L14</f>
        <v>1.9282407407407411E-2</v>
      </c>
      <c r="C14" s="53">
        <f>C5+D6+E7+F8+G9+H10+I11+J12+K13+L14</f>
        <v>1.7534722222222226E-2</v>
      </c>
      <c r="D14" s="53">
        <f>D6+E7+F8+G9+H10+I11+J12+K13+L14</f>
        <v>1.5138888888888889E-2</v>
      </c>
      <c r="E14" s="53">
        <f>E7+F8+G9+H10+I11+J12+K13+L14</f>
        <v>1.3449074074074075E-2</v>
      </c>
      <c r="F14" s="14">
        <f>F8+G9+H10+I11+J12+K13+L14</f>
        <v>1.1655092592592592E-2</v>
      </c>
      <c r="G14" s="14">
        <f>+G9+H10+I11+J12+K13+L14</f>
        <v>9.9074074074074099E-3</v>
      </c>
      <c r="H14" s="14">
        <f>H10+I11+J12+K13+L14</f>
        <v>7.8125E-3</v>
      </c>
      <c r="I14" s="14">
        <f>I11+J12+K13+L14</f>
        <v>6.4004629629629637E-3</v>
      </c>
      <c r="J14" s="14">
        <f>J12+K13+L14</f>
        <v>5.0115740740740745E-3</v>
      </c>
      <c r="K14" s="14">
        <f>+K13+L14</f>
        <v>3.0439814814814817E-3</v>
      </c>
      <c r="L14" s="13">
        <v>1.4930555555555556E-3</v>
      </c>
      <c r="M14" s="15"/>
      <c r="N14" s="11">
        <v>1.9675925925925928E-3</v>
      </c>
      <c r="O14" s="80">
        <v>3.4722222222222224E-4</v>
      </c>
    </row>
    <row r="15" spans="1:20" ht="20.100000000000001" customHeight="1" x14ac:dyDescent="0.25">
      <c r="A15" s="68" t="str">
        <f>N2</f>
        <v>BRU</v>
      </c>
      <c r="B15" s="53">
        <f>B4+C5+D6+E7+F8+G9+H10+I11+J12+K13+L14+M15</f>
        <v>2.1250000000000005E-2</v>
      </c>
      <c r="C15" s="53">
        <f>C5+D6+E7+F8+G9+H10+I11+J12+K13+L14+M15</f>
        <v>1.950231481481482E-2</v>
      </c>
      <c r="D15" s="53">
        <f>D6+E7+F8+G9+H10+I11+J12+K13+L14+M15</f>
        <v>1.7106481481481483E-2</v>
      </c>
      <c r="E15" s="53">
        <f>E7+F8+G9+H10+I11+J12+K13+L14+M15</f>
        <v>1.5416666666666669E-2</v>
      </c>
      <c r="F15" s="14">
        <f>F8+G9+H10+I11+J12+K13+L14+M15</f>
        <v>1.3622685185185186E-2</v>
      </c>
      <c r="G15" s="14">
        <f>G9+H10+I11+J12+K13+L14+M15</f>
        <v>1.1875000000000004E-2</v>
      </c>
      <c r="H15" s="14">
        <f>H10+I11+J12+K13+L14+M15</f>
        <v>9.7800925925925937E-3</v>
      </c>
      <c r="I15" s="14">
        <f>I11+J12+K13+L14+M15</f>
        <v>8.3680555555555557E-3</v>
      </c>
      <c r="J15" s="14">
        <f>J12+K13+L14+M15</f>
        <v>6.9791666666666674E-3</v>
      </c>
      <c r="K15" s="14">
        <f>K13+L14+M15</f>
        <v>5.0115740740740745E-3</v>
      </c>
      <c r="L15" s="14">
        <f>K13+L14</f>
        <v>3.0439814814814817E-3</v>
      </c>
      <c r="M15" s="13">
        <v>1.9675925925925928E-3</v>
      </c>
      <c r="N15" s="15"/>
    </row>
    <row r="16" spans="1:20" ht="20.100000000000001" customHeight="1" x14ac:dyDescent="0.25">
      <c r="B16" s="91" t="s">
        <v>117</v>
      </c>
      <c r="C16" s="80">
        <v>3.4722222222222224E-4</v>
      </c>
      <c r="D16" s="80">
        <v>3.4722222222222224E-4</v>
      </c>
      <c r="E16" s="80">
        <v>3.4722222222222224E-4</v>
      </c>
      <c r="F16" s="80">
        <v>3.4722222222222224E-4</v>
      </c>
      <c r="G16" s="80">
        <v>3.4722222222222224E-4</v>
      </c>
      <c r="H16" s="80">
        <v>3.4722222222222224E-4</v>
      </c>
      <c r="I16" s="80">
        <v>3.4722222222222224E-4</v>
      </c>
      <c r="J16" s="80">
        <v>3.4722222222222224E-4</v>
      </c>
      <c r="K16" s="80">
        <v>3.4722222222222224E-4</v>
      </c>
      <c r="L16" s="80">
        <v>3.4722222222222224E-4</v>
      </c>
      <c r="M16" s="80">
        <v>3.4722222222222224E-4</v>
      </c>
    </row>
    <row r="17" spans="4:17" ht="20.100000000000001" customHeight="1" x14ac:dyDescent="0.25"/>
    <row r="18" spans="4:17" ht="20.100000000000001" customHeight="1" x14ac:dyDescent="0.25"/>
    <row r="19" spans="4:17" ht="20.100000000000001" customHeight="1" x14ac:dyDescent="0.25"/>
    <row r="20" spans="4:17" ht="20.100000000000001" customHeight="1" x14ac:dyDescent="0.25">
      <c r="E20" s="60"/>
    </row>
    <row r="22" spans="4:17" x14ac:dyDescent="0.25"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2"/>
      <c r="Q22" s="2"/>
    </row>
    <row r="23" spans="4:17" x14ac:dyDescent="0.25">
      <c r="Q23" s="2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T12"/>
  <sheetViews>
    <sheetView windowProtection="1" zoomScaleNormal="100" workbookViewId="0">
      <selection activeCell="F11" sqref="F11"/>
    </sheetView>
  </sheetViews>
  <sheetFormatPr defaultColWidth="9.7109375" defaultRowHeight="20.100000000000001" customHeight="1" x14ac:dyDescent="0.2"/>
  <cols>
    <col min="1" max="1" width="12.7109375" style="26" customWidth="1"/>
    <col min="2" max="20" width="9.7109375" style="82"/>
    <col min="21" max="16384" width="9.7109375" style="26"/>
  </cols>
  <sheetData>
    <row r="1" spans="1:20" ht="39.950000000000003" customHeight="1" x14ac:dyDescent="0.2">
      <c r="A1" s="30">
        <v>2.7777777777777779E-3</v>
      </c>
      <c r="B1" s="72" t="s">
        <v>114</v>
      </c>
      <c r="C1" s="73"/>
      <c r="D1" s="73"/>
      <c r="E1" s="73"/>
      <c r="F1" s="73"/>
      <c r="G1" s="73"/>
      <c r="H1" s="73"/>
      <c r="I1" s="73"/>
      <c r="J1" s="74" t="s">
        <v>115</v>
      </c>
      <c r="K1" s="73"/>
      <c r="L1" s="73"/>
      <c r="M1" s="75" t="s">
        <v>116</v>
      </c>
      <c r="N1" s="73"/>
      <c r="O1" s="73"/>
      <c r="P1" s="76"/>
      <c r="Q1" s="76"/>
      <c r="R1" s="76"/>
      <c r="S1" s="76"/>
      <c r="T1" s="77"/>
    </row>
    <row r="2" spans="1:20" ht="20.100000000000001" customHeight="1" x14ac:dyDescent="0.2">
      <c r="A2" s="78" t="s">
        <v>0</v>
      </c>
      <c r="B2" s="78"/>
      <c r="C2" s="79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</row>
    <row r="3" spans="1:20" ht="20.100000000000001" customHeight="1" x14ac:dyDescent="0.2">
      <c r="A3" s="80"/>
      <c r="B3" s="81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</row>
    <row r="6" spans="1:20" ht="20.100000000000001" customHeight="1" x14ac:dyDescent="0.2">
      <c r="E6" s="83"/>
      <c r="F6" s="83"/>
      <c r="G6" s="83"/>
      <c r="H6" s="83"/>
      <c r="I6" s="83"/>
      <c r="J6" s="83"/>
      <c r="K6" s="83"/>
      <c r="L6" s="83"/>
      <c r="M6" s="83"/>
      <c r="N6" s="83"/>
      <c r="O6" s="84"/>
      <c r="P6" s="83"/>
      <c r="Q6" s="83"/>
      <c r="R6" s="83"/>
    </row>
    <row r="7" spans="1:20" ht="20.100000000000001" customHeight="1" x14ac:dyDescent="0.2">
      <c r="F7" s="74"/>
      <c r="G7" s="74"/>
      <c r="H7" s="85"/>
      <c r="I7" s="85"/>
      <c r="J7" s="85"/>
      <c r="K7" s="85"/>
      <c r="L7" s="85"/>
      <c r="M7" s="85"/>
      <c r="N7" s="85"/>
      <c r="O7" s="85"/>
      <c r="P7" s="85"/>
      <c r="Q7" s="83"/>
      <c r="R7" s="83"/>
    </row>
    <row r="8" spans="1:20" ht="20.100000000000001" customHeight="1" x14ac:dyDescent="0.2">
      <c r="F8" s="75"/>
      <c r="G8" s="75"/>
      <c r="H8" s="85"/>
      <c r="I8" s="85"/>
      <c r="J8" s="85"/>
      <c r="K8" s="86"/>
      <c r="L8" s="86"/>
      <c r="M8" s="86"/>
      <c r="N8" s="86"/>
      <c r="O8" s="86"/>
      <c r="P8" s="86"/>
      <c r="Q8" s="87"/>
      <c r="R8" s="83"/>
    </row>
    <row r="9" spans="1:20" ht="20.100000000000001" customHeight="1" x14ac:dyDescent="0.2">
      <c r="B9" s="85"/>
      <c r="C9" s="85"/>
      <c r="D9" s="85"/>
      <c r="E9" s="85"/>
      <c r="F9" s="85"/>
      <c r="G9" s="85"/>
      <c r="H9" s="85"/>
      <c r="I9" s="88"/>
      <c r="J9" s="85"/>
      <c r="K9" s="85"/>
      <c r="L9" s="83"/>
      <c r="M9" s="83"/>
      <c r="P9" s="26"/>
      <c r="Q9" s="26"/>
      <c r="R9" s="26"/>
      <c r="S9" s="26"/>
      <c r="T9" s="26"/>
    </row>
    <row r="10" spans="1:20" ht="20.100000000000001" customHeight="1" x14ac:dyDescent="0.2"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3"/>
      <c r="R10" s="83"/>
    </row>
    <row r="11" spans="1:20" ht="20.100000000000001" customHeight="1" x14ac:dyDescent="0.2">
      <c r="E11" s="85"/>
      <c r="F11" s="85"/>
      <c r="G11" s="89"/>
      <c r="H11" s="85"/>
      <c r="I11" s="85"/>
      <c r="J11" s="85"/>
      <c r="K11" s="85"/>
      <c r="L11" s="85"/>
      <c r="M11" s="85"/>
      <c r="N11" s="85"/>
      <c r="O11" s="85"/>
      <c r="P11" s="85"/>
      <c r="Q11" s="83"/>
      <c r="R11" s="83"/>
    </row>
    <row r="12" spans="1:20" ht="20.100000000000001" customHeight="1" x14ac:dyDescent="0.2"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</row>
  </sheetData>
  <sheetProtection selectLockedCells="1" selectUnlockedCells="1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A2"/>
  <sheetViews>
    <sheetView windowProtection="1" workbookViewId="0">
      <selection activeCell="D7" sqref="D7"/>
    </sheetView>
  </sheetViews>
  <sheetFormatPr defaultRowHeight="12.75" x14ac:dyDescent="0.2"/>
  <sheetData>
    <row r="1" spans="1:1" x14ac:dyDescent="0.2">
      <c r="A1" t="s">
        <v>113</v>
      </c>
    </row>
    <row r="2" spans="1:1" x14ac:dyDescent="0.2">
      <c r="A2" t="s">
        <v>112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otão1_Clique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Linha 7</vt:lpstr>
      <vt:lpstr>Linha 10</vt:lpstr>
      <vt:lpstr>Linha 11</vt:lpstr>
      <vt:lpstr>Linha 12</vt:lpstr>
      <vt:lpstr>Linha 8</vt:lpstr>
      <vt:lpstr>Linha 9</vt:lpstr>
      <vt:lpstr>OESTE SUL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2011-07-06T13:14:51Z</dcterms:created>
  <dcterms:modified xsi:type="dcterms:W3CDTF">2013-09-22T14:24:37Z</dcterms:modified>
</cp:coreProperties>
</file>